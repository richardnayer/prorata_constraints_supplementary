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6" documentId="8_{C4FED880-CCC2-495C-B7FC-69A0D952B6E8}" xr6:coauthVersionLast="47" xr6:coauthVersionMax="47" xr10:uidLastSave="{3BC7A03F-D157-48CA-A1BB-E8E9C6CA167D}"/>
  <bookViews>
    <workbookView xWindow="-28920" yWindow="-120" windowWidth="29040" windowHeight="15720" tabRatio="939" activeTab="1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9" l="1"/>
  <c r="B8" i="19"/>
  <c r="B7" i="19"/>
  <c r="B6" i="19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<sst xmlns="http://schemas.openxmlformats.org/spreadsheetml/2006/main" count="458" uniqueCount="183">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</sst>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tabSelected="1" zoomScale="130" zoomScaleNormal="130" workbookViewId="0">
      <selection activeCell="F2" sqref="F2:F18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33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33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33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33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33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33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33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33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33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33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33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33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33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33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33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33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33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9"/>
  <sheetViews>
    <sheetView zoomScaleNormal="100" workbookViewId="0">
      <selection activeCell="C9" sqref="C9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-1000</v>
      </c>
      <c r="N4" s="11">
        <v>-1000</v>
      </c>
      <c r="O4" s="17">
        <v>0</v>
      </c>
      <c r="P4" s="11">
        <v>0</v>
      </c>
      <c r="Q4" s="11">
        <v>1000</v>
      </c>
      <c r="R4" s="17">
        <v>1000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-1000</v>
      </c>
      <c r="N5" s="11">
        <v>-1000</v>
      </c>
      <c r="O5" s="17">
        <v>0</v>
      </c>
      <c r="P5" s="11">
        <v>0</v>
      </c>
      <c r="Q5" s="11">
        <v>1000</v>
      </c>
      <c r="R5" s="17">
        <v>1000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-1000</v>
      </c>
      <c r="N6" s="11">
        <v>-1000</v>
      </c>
      <c r="O6" s="17">
        <v>0</v>
      </c>
      <c r="P6" s="11">
        <v>0</v>
      </c>
      <c r="Q6" s="11">
        <v>1000</v>
      </c>
      <c r="R6" s="17">
        <v>1000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  <row r="7" spans="1:27" x14ac:dyDescent="0.25">
      <c r="A7" s="8">
        <v>11</v>
      </c>
      <c r="B7" s="21" t="str">
        <f t="shared" ref="B7:B9" si="1">"P_"&amp;A7</f>
        <v>P_11</v>
      </c>
      <c r="C7" s="9" t="s">
        <v>76</v>
      </c>
      <c r="D7" s="8"/>
      <c r="E7" s="9" t="s">
        <v>154</v>
      </c>
      <c r="F7" s="9" t="s">
        <v>147</v>
      </c>
      <c r="G7" s="9"/>
      <c r="H7" s="9">
        <v>1</v>
      </c>
      <c r="I7" s="10"/>
      <c r="J7" s="19">
        <v>0</v>
      </c>
      <c r="K7" s="19">
        <v>0</v>
      </c>
      <c r="L7" s="16">
        <v>0</v>
      </c>
      <c r="M7" s="11">
        <v>-1000</v>
      </c>
      <c r="N7" s="11">
        <v>-1000</v>
      </c>
      <c r="O7" s="17">
        <v>0</v>
      </c>
      <c r="P7" s="11">
        <v>0</v>
      </c>
      <c r="Q7" s="11">
        <v>1000</v>
      </c>
      <c r="R7" s="17">
        <v>1000</v>
      </c>
      <c r="S7" s="11">
        <v>0</v>
      </c>
      <c r="T7" s="11">
        <v>0</v>
      </c>
      <c r="U7" s="8" t="s">
        <v>155</v>
      </c>
      <c r="V7" s="8" t="s">
        <v>26</v>
      </c>
      <c r="W7" s="14">
        <v>1000</v>
      </c>
      <c r="X7" s="14">
        <v>1000</v>
      </c>
      <c r="Y7" s="14">
        <v>0</v>
      </c>
      <c r="Z7" s="12">
        <v>0</v>
      </c>
      <c r="AA7" s="18">
        <v>0</v>
      </c>
    </row>
    <row r="8" spans="1:27" x14ac:dyDescent="0.25">
      <c r="A8" s="8">
        <v>12</v>
      </c>
      <c r="B8" s="21" t="str">
        <f t="shared" si="1"/>
        <v>P_12</v>
      </c>
      <c r="C8" s="9" t="s">
        <v>76</v>
      </c>
      <c r="D8" s="8"/>
      <c r="E8" s="9" t="s">
        <v>154</v>
      </c>
      <c r="F8" s="9" t="s">
        <v>147</v>
      </c>
      <c r="G8" s="9"/>
      <c r="H8" s="9">
        <v>1</v>
      </c>
      <c r="I8" s="10"/>
      <c r="J8" s="19">
        <v>0</v>
      </c>
      <c r="K8" s="19">
        <v>0</v>
      </c>
      <c r="L8" s="16">
        <v>0</v>
      </c>
      <c r="M8" s="11">
        <v>-1000</v>
      </c>
      <c r="N8" s="11">
        <v>-1000</v>
      </c>
      <c r="O8" s="17">
        <v>0</v>
      </c>
      <c r="P8" s="11">
        <v>0</v>
      </c>
      <c r="Q8" s="11">
        <v>1000</v>
      </c>
      <c r="R8" s="17">
        <v>1000</v>
      </c>
      <c r="S8" s="11">
        <v>0</v>
      </c>
      <c r="T8" s="11">
        <v>0</v>
      </c>
      <c r="U8" s="8" t="s">
        <v>155</v>
      </c>
      <c r="V8" s="8" t="s">
        <v>26</v>
      </c>
      <c r="W8" s="14">
        <v>1000</v>
      </c>
      <c r="X8" s="14">
        <v>1000</v>
      </c>
      <c r="Y8" s="14">
        <v>0</v>
      </c>
      <c r="Z8" s="12">
        <v>0</v>
      </c>
      <c r="AA8" s="18">
        <v>0</v>
      </c>
    </row>
    <row r="9" spans="1:27" x14ac:dyDescent="0.25">
      <c r="A9" s="8">
        <v>24</v>
      </c>
      <c r="B9" s="21" t="str">
        <f t="shared" si="1"/>
        <v>P_24</v>
      </c>
      <c r="C9" s="9" t="s">
        <v>76</v>
      </c>
      <c r="D9" s="8"/>
      <c r="E9" s="9" t="s">
        <v>154</v>
      </c>
      <c r="F9" s="9" t="s">
        <v>147</v>
      </c>
      <c r="G9" s="9"/>
      <c r="H9" s="9">
        <v>1</v>
      </c>
      <c r="I9" s="10"/>
      <c r="J9" s="19">
        <v>0</v>
      </c>
      <c r="K9" s="19">
        <v>0</v>
      </c>
      <c r="L9" s="16">
        <v>0</v>
      </c>
      <c r="M9" s="11">
        <v>-1000</v>
      </c>
      <c r="N9" s="11">
        <v>-1000</v>
      </c>
      <c r="O9" s="17">
        <v>0</v>
      </c>
      <c r="P9" s="11">
        <v>0</v>
      </c>
      <c r="Q9" s="11">
        <v>1000</v>
      </c>
      <c r="R9" s="17">
        <v>1000</v>
      </c>
      <c r="S9" s="11">
        <v>0</v>
      </c>
      <c r="T9" s="11">
        <v>0</v>
      </c>
      <c r="U9" s="8" t="s">
        <v>155</v>
      </c>
      <c r="V9" s="8" t="s">
        <v>26</v>
      </c>
      <c r="W9" s="14">
        <v>1000</v>
      </c>
      <c r="X9" s="14">
        <v>1000</v>
      </c>
      <c r="Y9" s="14">
        <v>0</v>
      </c>
      <c r="Z9" s="12">
        <v>0</v>
      </c>
      <c r="AA9" s="18">
        <v>0</v>
      </c>
    </row>
  </sheetData>
  <conditionalFormatting sqref="D2:D9">
    <cfRule type="expression" dxfId="1" priority="7">
      <formula>($C2&lt;&gt;"LIFO")</formula>
    </cfRule>
  </conditionalFormatting>
  <conditionalFormatting sqref="E2:F9">
    <cfRule type="expression" dxfId="0" priority="1">
      <formula>($C2&lt;&gt;"Pro-Rata")</formula>
    </cfRule>
  </conditionalFormatting>
  <dataValidations count="1">
    <dataValidation type="list" allowBlank="1" showInputMessage="1" showErrorMessage="1" sqref="C2:C9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5" ma:contentTypeDescription="Create a new document." ma:contentTypeScope="" ma:versionID="6209ab20e780cb78e80cac366f91a198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1cd68f7e674d05db2509479024cb6679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customXml/itemProps3.xml><?xml version="1.0" encoding="utf-8"?>
<ds:datastoreItem xmlns:ds="http://schemas.openxmlformats.org/officeDocument/2006/customXml" ds:itemID="{2543B8D9-76B9-4E21-B132-104A3387CB2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2026-10-05T09:10:26Z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