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1" documentId="8_{92AF6E43-61CF-422F-9BF4-A3F51E647E86}" xr6:coauthVersionLast="47" xr6:coauthVersionMax="47" xr10:uidLastSave="{F6974CE5-E03C-496E-A3EC-6AA59DDF835C}"/>
  <bookViews>
    <workbookView xWindow="-120" yWindow="-120" windowWidth="29040" windowHeight="17520" tabRatio="939" activeTab="14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9" l="1"/>
  <c r="R3" i="19" s="1"/>
  <c r="R4" i="19" s="1"/>
  <c r="R5" i="19" s="1"/>
  <c r="R6" i="19" s="1"/>
  <c r="Q3" i="19"/>
  <c r="Q4" i="19" s="1"/>
  <c r="Q5" i="19" s="1"/>
  <c r="Q6" i="19" s="1"/>
  <c r="B6" i="19"/>
  <c r="B5" i="19"/>
  <c r="B4" i="19"/>
  <c r="B3" i="19"/>
  <c r="B2" i="19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M2" i="19" l="1" a="1"/>
  <c r="M2" i="19" s="1"/>
  <c r="Q10" i="23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<sst xmlns="http://schemas.openxmlformats.org/spreadsheetml/2006/main" count="443" uniqueCount="183">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</sst>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157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158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159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160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161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162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163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164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165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166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167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168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169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170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171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172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173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174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175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176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177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178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179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zoomScaleNormal="100" workbookViewId="0">
      <selection activeCell="O43" sqref="O43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180</v>
      </c>
      <c r="F14" s="9"/>
      <c r="G14" s="9">
        <v>1</v>
      </c>
      <c r="H14" s="18">
        <v>1</v>
      </c>
      <c r="I14" s="17"/>
      <c r="J14" s="11">
        <v>0</v>
      </c>
      <c r="K14" s="15">
        <v>300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180</v>
      </c>
      <c r="F15" s="9"/>
      <c r="G15" s="9">
        <v>1</v>
      </c>
      <c r="H15" s="18">
        <v>1</v>
      </c>
      <c r="I15" s="17"/>
      <c r="J15" s="11">
        <v>0</v>
      </c>
      <c r="K15" s="15">
        <v>300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181</v>
      </c>
      <c r="F16" s="9"/>
      <c r="G16" s="9">
        <v>1</v>
      </c>
      <c r="H16" s="18">
        <v>1</v>
      </c>
      <c r="I16" s="17"/>
      <c r="J16" s="11">
        <v>0</v>
      </c>
      <c r="K16" s="15">
        <v>300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182</v>
      </c>
      <c r="F17" s="9"/>
      <c r="G17" s="9">
        <v>1</v>
      </c>
      <c r="H17" s="18">
        <v>1</v>
      </c>
      <c r="I17" s="17"/>
      <c r="J17" s="11">
        <v>0</v>
      </c>
      <c r="K17" s="15">
        <v>300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181</v>
      </c>
      <c r="F18" s="9"/>
      <c r="G18" s="9">
        <v>1</v>
      </c>
      <c r="H18" s="18">
        <v>1</v>
      </c>
      <c r="I18" s="17"/>
      <c r="J18" s="11">
        <v>0</v>
      </c>
      <c r="K18" s="15">
        <v>300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181</v>
      </c>
      <c r="F19" s="9"/>
      <c r="G19" s="9">
        <v>1</v>
      </c>
      <c r="H19" s="18">
        <v>1</v>
      </c>
      <c r="I19" s="17"/>
      <c r="J19" s="11">
        <v>0</v>
      </c>
      <c r="K19" s="15">
        <v>300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6"/>
  <sheetViews>
    <sheetView tabSelected="1" zoomScaleNormal="100" workbookViewId="0">
      <selection activeCell="Q3" sqref="Q3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tr">
        <f>"P_"&amp;A2</f>
        <v>P_1</v>
      </c>
      <c r="C2" s="9" t="s">
        <v>76</v>
      </c>
      <c r="D2" s="8"/>
      <c r="E2" s="9" t="s">
        <v>154</v>
      </c>
      <c r="F2" s="9" t="s">
        <v>147</v>
      </c>
      <c r="G2" s="9"/>
      <c r="H2" s="9">
        <v>1</v>
      </c>
      <c r="I2" s="10"/>
      <c r="J2" s="19">
        <v>0</v>
      </c>
      <c r="K2" s="19">
        <v>0</v>
      </c>
      <c r="L2" s="16">
        <v>0</v>
      </c>
      <c r="M2" s="11" cm="1">
        <f t="array" ref="M2:N6">-Q2:R6</f>
        <v>-300</v>
      </c>
      <c r="N2" s="11">
        <v>-300</v>
      </c>
      <c r="O2" s="17">
        <v>0</v>
      </c>
      <c r="P2" s="11">
        <v>0</v>
      </c>
      <c r="Q2" s="33">
        <v>300</v>
      </c>
      <c r="R2" s="17">
        <f>Q2</f>
        <v>300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0</v>
      </c>
    </row>
    <row r="3" spans="1:27" s="13" customFormat="1" x14ac:dyDescent="0.25">
      <c r="A3" s="8">
        <v>2</v>
      </c>
      <c r="B3" s="21" t="str">
        <f t="shared" ref="B3:B6" si="0">"P_"&amp;A3</f>
        <v>P_2</v>
      </c>
      <c r="C3" s="9" t="s">
        <v>76</v>
      </c>
      <c r="D3" s="8"/>
      <c r="E3" s="9" t="s">
        <v>154</v>
      </c>
      <c r="F3" s="9" t="s">
        <v>147</v>
      </c>
      <c r="G3" s="9"/>
      <c r="H3" s="9">
        <v>1</v>
      </c>
      <c r="I3" s="10"/>
      <c r="J3" s="19">
        <v>0</v>
      </c>
      <c r="K3" s="19">
        <v>0</v>
      </c>
      <c r="L3" s="16">
        <v>0</v>
      </c>
      <c r="M3" s="11">
        <v>-300</v>
      </c>
      <c r="N3" s="11">
        <v>-300</v>
      </c>
      <c r="O3" s="17">
        <v>0</v>
      </c>
      <c r="P3" s="11">
        <v>0</v>
      </c>
      <c r="Q3" s="11">
        <f t="shared" ref="Q3:R6" si="1">Q2</f>
        <v>300</v>
      </c>
      <c r="R3" s="17">
        <f t="shared" si="1"/>
        <v>300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0</v>
      </c>
    </row>
    <row r="4" spans="1:27" x14ac:dyDescent="0.25">
      <c r="A4" s="8">
        <v>3</v>
      </c>
      <c r="B4" s="21" t="str">
        <f t="shared" si="0"/>
        <v>P_3</v>
      </c>
      <c r="C4" s="9" t="s">
        <v>76</v>
      </c>
      <c r="D4" s="8"/>
      <c r="E4" s="9" t="s">
        <v>154</v>
      </c>
      <c r="F4" s="9" t="s">
        <v>147</v>
      </c>
      <c r="G4" s="9"/>
      <c r="H4" s="9">
        <v>1</v>
      </c>
      <c r="I4" s="10"/>
      <c r="J4" s="19">
        <v>0</v>
      </c>
      <c r="K4" s="19">
        <v>0</v>
      </c>
      <c r="L4" s="16">
        <v>0</v>
      </c>
      <c r="M4" s="11">
        <v>-300</v>
      </c>
      <c r="N4" s="11">
        <v>-300</v>
      </c>
      <c r="O4" s="17">
        <v>0</v>
      </c>
      <c r="P4" s="11">
        <v>0</v>
      </c>
      <c r="Q4" s="11">
        <f t="shared" si="1"/>
        <v>300</v>
      </c>
      <c r="R4" s="17">
        <f t="shared" si="1"/>
        <v>300</v>
      </c>
      <c r="S4" s="11">
        <v>0</v>
      </c>
      <c r="T4" s="11">
        <v>0</v>
      </c>
      <c r="U4" s="8" t="s">
        <v>155</v>
      </c>
      <c r="V4" s="8" t="s">
        <v>26</v>
      </c>
      <c r="W4" s="14">
        <v>1000</v>
      </c>
      <c r="X4" s="14">
        <v>1000</v>
      </c>
      <c r="Y4" s="14">
        <v>0</v>
      </c>
      <c r="Z4" s="12">
        <v>0</v>
      </c>
      <c r="AA4" s="18">
        <v>0</v>
      </c>
    </row>
    <row r="5" spans="1:27" x14ac:dyDescent="0.25">
      <c r="A5" s="8">
        <v>5</v>
      </c>
      <c r="B5" s="21" t="str">
        <f t="shared" si="0"/>
        <v>P_5</v>
      </c>
      <c r="C5" s="9" t="s">
        <v>76</v>
      </c>
      <c r="D5" s="8"/>
      <c r="E5" s="9" t="s">
        <v>154</v>
      </c>
      <c r="F5" s="9" t="s">
        <v>147</v>
      </c>
      <c r="G5" s="9"/>
      <c r="H5" s="9">
        <v>1</v>
      </c>
      <c r="I5" s="10"/>
      <c r="J5" s="19">
        <v>0</v>
      </c>
      <c r="K5" s="19">
        <v>0</v>
      </c>
      <c r="L5" s="16">
        <v>0</v>
      </c>
      <c r="M5" s="11">
        <v>-300</v>
      </c>
      <c r="N5" s="11">
        <v>-300</v>
      </c>
      <c r="O5" s="17">
        <v>0</v>
      </c>
      <c r="P5" s="11">
        <v>0</v>
      </c>
      <c r="Q5" s="11">
        <f t="shared" si="1"/>
        <v>300</v>
      </c>
      <c r="R5" s="17">
        <f t="shared" si="1"/>
        <v>300</v>
      </c>
      <c r="S5" s="11">
        <v>0</v>
      </c>
      <c r="T5" s="11">
        <v>0</v>
      </c>
      <c r="U5" s="8" t="s">
        <v>155</v>
      </c>
      <c r="V5" s="8" t="s">
        <v>26</v>
      </c>
      <c r="W5" s="14">
        <v>1000</v>
      </c>
      <c r="X5" s="14">
        <v>1000</v>
      </c>
      <c r="Y5" s="14">
        <v>0</v>
      </c>
      <c r="Z5" s="12">
        <v>0</v>
      </c>
      <c r="AA5" s="18">
        <v>0</v>
      </c>
    </row>
    <row r="6" spans="1:27" x14ac:dyDescent="0.25">
      <c r="A6" s="8">
        <v>7</v>
      </c>
      <c r="B6" s="21" t="str">
        <f t="shared" si="0"/>
        <v>P_7</v>
      </c>
      <c r="C6" s="9" t="s">
        <v>76</v>
      </c>
      <c r="D6" s="8"/>
      <c r="E6" s="9" t="s">
        <v>154</v>
      </c>
      <c r="F6" s="9" t="s">
        <v>147</v>
      </c>
      <c r="G6" s="9"/>
      <c r="H6" s="9">
        <v>1</v>
      </c>
      <c r="I6" s="10"/>
      <c r="J6" s="19">
        <v>0</v>
      </c>
      <c r="K6" s="19">
        <v>0</v>
      </c>
      <c r="L6" s="16">
        <v>0</v>
      </c>
      <c r="M6" s="11">
        <v>-300</v>
      </c>
      <c r="N6" s="11">
        <v>-300</v>
      </c>
      <c r="O6" s="17">
        <v>0</v>
      </c>
      <c r="P6" s="11">
        <v>0</v>
      </c>
      <c r="Q6" s="11">
        <f t="shared" si="1"/>
        <v>300</v>
      </c>
      <c r="R6" s="17">
        <f t="shared" si="1"/>
        <v>300</v>
      </c>
      <c r="S6" s="11">
        <v>0</v>
      </c>
      <c r="T6" s="11">
        <v>0</v>
      </c>
      <c r="U6" s="8" t="s">
        <v>155</v>
      </c>
      <c r="V6" s="8" t="s">
        <v>26</v>
      </c>
      <c r="W6" s="14">
        <v>1000</v>
      </c>
      <c r="X6" s="14">
        <v>1000</v>
      </c>
      <c r="Y6" s="14">
        <v>0</v>
      </c>
      <c r="Z6" s="12">
        <v>0</v>
      </c>
      <c r="AA6" s="18">
        <v>0</v>
      </c>
    </row>
  </sheetData>
  <conditionalFormatting sqref="D2:D6">
    <cfRule type="expression" dxfId="1" priority="6">
      <formula>($C2&lt;&gt;"LIFO")</formula>
    </cfRule>
  </conditionalFormatting>
  <conditionalFormatting sqref="E2:F6">
    <cfRule type="expression" dxfId="0" priority="1">
      <formula>($C2&lt;&gt;"Pro-Rata")</formula>
    </cfRule>
  </conditionalFormatting>
  <dataValidations count="1">
    <dataValidation type="list" allowBlank="1" showInputMessage="1" showErrorMessage="1" sqref="C2:C6" xr:uid="{C4803F95-F688-40F9-86C2-AFB9CD1C8D1F}">
      <formula1>"Individual,Uncontrollable,LIFO,Pro-Rata"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3610aed6-0335-46d2-b190-87c476b048cc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6dce361f-7b53-4909-8b0d-30e42626cdc9"/>
    <ds:schemaRef ds:uri="http://purl.org/dc/terms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2026-07-20T08:52:22Z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