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network_models/"/>
    </mc:Choice>
  </mc:AlternateContent>
  <xr:revisionPtr revIDLastSave="1" documentId="8_{FC849DA7-8E7C-40B5-B691-7AFBA92B02FB}" xr6:coauthVersionLast="47" xr6:coauthVersionMax="47" xr10:uidLastSave="{57CFE7D9-8679-4C0A-B417-1EB2694A163C}"/>
  <bookViews>
    <workbookView xWindow="-120" yWindow="-120" windowWidth="29040" windowHeight="17520" tabRatio="939" activeTab="10" xr2:uid="{00000000-000D-0000-FFFF-FFFF00000000}"/>
  </bookViews>
  <sheets>
    <sheet name="bus" sheetId="1" r:id="rId1"/>
    <sheet name="demand" sheetId="2" r:id="rId2"/>
    <sheet name="ts_PD" sheetId="11" r:id="rId3"/>
    <sheet name="PD Calculator" sheetId="23" r:id="rId4"/>
    <sheet name="ts_VOLL" sheetId="12" r:id="rId5"/>
    <sheet name="branch" sheetId="3" r:id="rId6"/>
    <sheet name="ts_Lmax" sheetId="13" r:id="rId7"/>
    <sheet name="transformers_2w" sheetId="4" r:id="rId8"/>
    <sheet name="transformers_3w" sheetId="22" r:id="rId9"/>
    <sheet name="ts_TLmax" sheetId="14" r:id="rId10"/>
    <sheet name="generator" sheetId="8" r:id="rId11"/>
    <sheet name="ts_PGLB" sheetId="15" r:id="rId12"/>
    <sheet name="ts_PGUB" sheetId="16" r:id="rId13"/>
    <sheet name="ts_bid" sheetId="17" r:id="rId14"/>
    <sheet name="prosumer" sheetId="19" r:id="rId15"/>
    <sheet name="interconnectors" sheetId="20" r:id="rId16"/>
    <sheet name="ts_Pint" sheetId="21" r:id="rId17"/>
    <sheet name="baseMVA" sheetId="9" r:id="rId18"/>
  </sheets>
  <definedNames>
    <definedName name="_xlnm._FilterDatabase" localSheetId="5" hidden="1">branch!$A$1:$I$2</definedName>
    <definedName name="_xlnm._FilterDatabase" localSheetId="10" hidden="1">generator!$A$1:$T$3</definedName>
    <definedName name="solver_adj" localSheetId="2" hidden="1">ts_PD!#REF!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ts_PD!#REF!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8" l="1"/>
  <c r="K15" i="8"/>
  <c r="K16" i="8" s="1"/>
  <c r="K17" i="8" s="1"/>
  <c r="K18" i="8" s="1"/>
  <c r="K19" i="8" s="1"/>
  <c r="T13" i="8"/>
  <c r="T12" i="8"/>
  <c r="T11" i="8"/>
  <c r="T10" i="8"/>
  <c r="T9" i="8"/>
  <c r="T8" i="8"/>
  <c r="T7" i="8"/>
  <c r="T6" i="8"/>
  <c r="T5" i="8"/>
  <c r="T4" i="8"/>
  <c r="T3" i="8"/>
  <c r="T2" i="8"/>
  <c r="U25" i="23"/>
  <c r="R25" i="23"/>
  <c r="Q20" i="23"/>
  <c r="O24" i="23"/>
  <c r="N24" i="23"/>
  <c r="M25" i="23"/>
  <c r="X25" i="23"/>
  <c r="W25" i="23"/>
  <c r="V25" i="23"/>
  <c r="T25" i="23"/>
  <c r="S25" i="23"/>
  <c r="P25" i="23"/>
  <c r="L25" i="23"/>
  <c r="K25" i="23"/>
  <c r="J25" i="23"/>
  <c r="I25" i="23"/>
  <c r="G25" i="23"/>
  <c r="F25" i="23"/>
  <c r="E25" i="23"/>
  <c r="D25" i="23"/>
  <c r="X24" i="23"/>
  <c r="W24" i="23"/>
  <c r="V24" i="23"/>
  <c r="S24" i="23"/>
  <c r="R24" i="23"/>
  <c r="P24" i="23"/>
  <c r="M24" i="23"/>
  <c r="L24" i="23"/>
  <c r="K24" i="23"/>
  <c r="J24" i="23"/>
  <c r="I24" i="23"/>
  <c r="G24" i="23"/>
  <c r="F24" i="23"/>
  <c r="E24" i="23"/>
  <c r="D24" i="23"/>
  <c r="X23" i="23"/>
  <c r="W23" i="23"/>
  <c r="V23" i="23"/>
  <c r="U23" i="23"/>
  <c r="T23" i="23"/>
  <c r="S23" i="23"/>
  <c r="R23" i="23"/>
  <c r="P23" i="23"/>
  <c r="M23" i="23"/>
  <c r="L23" i="23"/>
  <c r="K23" i="23"/>
  <c r="J23" i="23"/>
  <c r="I23" i="23"/>
  <c r="G23" i="23"/>
  <c r="F23" i="23"/>
  <c r="E23" i="23"/>
  <c r="D23" i="23"/>
  <c r="X22" i="23"/>
  <c r="W22" i="23"/>
  <c r="V22" i="23"/>
  <c r="U22" i="23"/>
  <c r="T22" i="23"/>
  <c r="S22" i="23"/>
  <c r="R22" i="23"/>
  <c r="P22" i="23"/>
  <c r="O22" i="23"/>
  <c r="M22" i="23"/>
  <c r="L22" i="23"/>
  <c r="K22" i="23"/>
  <c r="J22" i="23"/>
  <c r="I22" i="23"/>
  <c r="G22" i="23"/>
  <c r="F22" i="23"/>
  <c r="E22" i="23"/>
  <c r="D22" i="23"/>
  <c r="X21" i="23"/>
  <c r="W21" i="23"/>
  <c r="V21" i="23"/>
  <c r="U21" i="23"/>
  <c r="T21" i="23"/>
  <c r="S21" i="23"/>
  <c r="R21" i="23"/>
  <c r="P21" i="23"/>
  <c r="O21" i="23"/>
  <c r="M21" i="23"/>
  <c r="L21" i="23"/>
  <c r="K21" i="23"/>
  <c r="J21" i="23"/>
  <c r="I21" i="23"/>
  <c r="G21" i="23"/>
  <c r="F21" i="23"/>
  <c r="E21" i="23"/>
  <c r="D21" i="23"/>
  <c r="X20" i="23"/>
  <c r="W20" i="23"/>
  <c r="V20" i="23"/>
  <c r="U20" i="23"/>
  <c r="T20" i="23"/>
  <c r="S20" i="23"/>
  <c r="R20" i="23"/>
  <c r="P20" i="23"/>
  <c r="O20" i="23"/>
  <c r="M20" i="23"/>
  <c r="L20" i="23"/>
  <c r="K20" i="23"/>
  <c r="J20" i="23"/>
  <c r="I20" i="23"/>
  <c r="G20" i="23"/>
  <c r="F20" i="23"/>
  <c r="E20" i="23"/>
  <c r="D20" i="23"/>
  <c r="X19" i="23"/>
  <c r="W19" i="23"/>
  <c r="V19" i="23"/>
  <c r="U19" i="23"/>
  <c r="T19" i="23"/>
  <c r="S19" i="23"/>
  <c r="R19" i="23"/>
  <c r="P19" i="23"/>
  <c r="O19" i="23"/>
  <c r="M19" i="23"/>
  <c r="L19" i="23"/>
  <c r="K19" i="23"/>
  <c r="J19" i="23"/>
  <c r="I19" i="23"/>
  <c r="G19" i="23"/>
  <c r="F19" i="23"/>
  <c r="E19" i="23"/>
  <c r="D19" i="23"/>
  <c r="X18" i="23"/>
  <c r="W18" i="23"/>
  <c r="V18" i="23"/>
  <c r="U18" i="23"/>
  <c r="T18" i="23"/>
  <c r="S18" i="23"/>
  <c r="R18" i="23"/>
  <c r="P18" i="23"/>
  <c r="O18" i="23"/>
  <c r="M18" i="23"/>
  <c r="L18" i="23"/>
  <c r="K18" i="23"/>
  <c r="J18" i="23"/>
  <c r="I18" i="23"/>
  <c r="G18" i="23"/>
  <c r="F18" i="23"/>
  <c r="E18" i="23"/>
  <c r="D18" i="23"/>
  <c r="X17" i="23"/>
  <c r="W17" i="23"/>
  <c r="V17" i="23"/>
  <c r="U17" i="23"/>
  <c r="T17" i="23"/>
  <c r="S17" i="23"/>
  <c r="R17" i="23"/>
  <c r="P17" i="23"/>
  <c r="O17" i="23"/>
  <c r="M17" i="23"/>
  <c r="L17" i="23"/>
  <c r="K17" i="23"/>
  <c r="J17" i="23"/>
  <c r="I17" i="23"/>
  <c r="G17" i="23"/>
  <c r="F17" i="23"/>
  <c r="E17" i="23"/>
  <c r="D17" i="23"/>
  <c r="X16" i="23"/>
  <c r="W16" i="23"/>
  <c r="V16" i="23"/>
  <c r="U16" i="23"/>
  <c r="T16" i="23"/>
  <c r="S16" i="23"/>
  <c r="R16" i="23"/>
  <c r="P16" i="23"/>
  <c r="O16" i="23"/>
  <c r="M16" i="23"/>
  <c r="L16" i="23"/>
  <c r="K16" i="23"/>
  <c r="J16" i="23"/>
  <c r="I16" i="23"/>
  <c r="G16" i="23"/>
  <c r="F16" i="23"/>
  <c r="E16" i="23"/>
  <c r="D16" i="23"/>
  <c r="X15" i="23"/>
  <c r="W15" i="23"/>
  <c r="V15" i="23"/>
  <c r="U15" i="23"/>
  <c r="T15" i="23"/>
  <c r="S15" i="23"/>
  <c r="R15" i="23"/>
  <c r="Q15" i="23"/>
  <c r="P15" i="23"/>
  <c r="O15" i="23"/>
  <c r="M15" i="23"/>
  <c r="L15" i="23"/>
  <c r="K15" i="23"/>
  <c r="J15" i="23"/>
  <c r="I15" i="23"/>
  <c r="G15" i="23"/>
  <c r="F15" i="23"/>
  <c r="E15" i="23"/>
  <c r="D15" i="23"/>
  <c r="X14" i="23"/>
  <c r="W14" i="23"/>
  <c r="V14" i="23"/>
  <c r="U14" i="23"/>
  <c r="T14" i="23"/>
  <c r="S14" i="23"/>
  <c r="R14" i="23"/>
  <c r="P14" i="23"/>
  <c r="O14" i="23"/>
  <c r="M14" i="23"/>
  <c r="L14" i="23"/>
  <c r="K14" i="23"/>
  <c r="J14" i="23"/>
  <c r="I14" i="23"/>
  <c r="G14" i="23"/>
  <c r="F14" i="23"/>
  <c r="E14" i="23"/>
  <c r="D14" i="23"/>
  <c r="X13" i="23"/>
  <c r="W13" i="23"/>
  <c r="V13" i="23"/>
  <c r="U13" i="23"/>
  <c r="T13" i="23"/>
  <c r="S13" i="23"/>
  <c r="R13" i="23"/>
  <c r="P13" i="23"/>
  <c r="O13" i="23"/>
  <c r="M13" i="23"/>
  <c r="L13" i="23"/>
  <c r="K13" i="23"/>
  <c r="J13" i="23"/>
  <c r="I13" i="23"/>
  <c r="G13" i="23"/>
  <c r="F13" i="23"/>
  <c r="E13" i="23"/>
  <c r="D13" i="23"/>
  <c r="X12" i="23"/>
  <c r="W12" i="23"/>
  <c r="V12" i="23"/>
  <c r="U12" i="23"/>
  <c r="T12" i="23"/>
  <c r="S12" i="23"/>
  <c r="R12" i="23"/>
  <c r="P12" i="23"/>
  <c r="O12" i="23"/>
  <c r="M12" i="23"/>
  <c r="L12" i="23"/>
  <c r="K12" i="23"/>
  <c r="J12" i="23"/>
  <c r="I12" i="23"/>
  <c r="G12" i="23"/>
  <c r="F12" i="23"/>
  <c r="E12" i="23"/>
  <c r="D12" i="23"/>
  <c r="X11" i="23"/>
  <c r="W11" i="23"/>
  <c r="V11" i="23"/>
  <c r="U11" i="23"/>
  <c r="T11" i="23"/>
  <c r="S11" i="23"/>
  <c r="R11" i="23"/>
  <c r="P11" i="23"/>
  <c r="O11" i="23"/>
  <c r="M11" i="23"/>
  <c r="L11" i="23"/>
  <c r="K11" i="23"/>
  <c r="J11" i="23"/>
  <c r="I11" i="23"/>
  <c r="G11" i="23"/>
  <c r="F11" i="23"/>
  <c r="E11" i="23"/>
  <c r="D11" i="23"/>
  <c r="X10" i="23"/>
  <c r="W10" i="23"/>
  <c r="V10" i="23"/>
  <c r="U10" i="23"/>
  <c r="T10" i="23"/>
  <c r="S10" i="23"/>
  <c r="R10" i="23"/>
  <c r="P10" i="23"/>
  <c r="O10" i="23"/>
  <c r="M10" i="23"/>
  <c r="L10" i="23"/>
  <c r="K10" i="23"/>
  <c r="J10" i="23"/>
  <c r="I10" i="23"/>
  <c r="G10" i="23"/>
  <c r="F10" i="23"/>
  <c r="E10" i="23"/>
  <c r="D10" i="23"/>
  <c r="X9" i="23"/>
  <c r="W9" i="23"/>
  <c r="V9" i="23"/>
  <c r="U9" i="23"/>
  <c r="T9" i="23"/>
  <c r="S9" i="23"/>
  <c r="R9" i="23"/>
  <c r="P9" i="23"/>
  <c r="O9" i="23"/>
  <c r="M9" i="23"/>
  <c r="L9" i="23"/>
  <c r="K9" i="23"/>
  <c r="J9" i="23"/>
  <c r="I9" i="23"/>
  <c r="G9" i="23"/>
  <c r="F9" i="23"/>
  <c r="E9" i="23"/>
  <c r="D9" i="23"/>
  <c r="X8" i="23"/>
  <c r="W8" i="23"/>
  <c r="V8" i="23"/>
  <c r="U8" i="23"/>
  <c r="T8" i="23"/>
  <c r="S8" i="23"/>
  <c r="R8" i="23"/>
  <c r="P8" i="23"/>
  <c r="O8" i="23"/>
  <c r="M8" i="23"/>
  <c r="L8" i="23"/>
  <c r="K8" i="23"/>
  <c r="J8" i="23"/>
  <c r="I8" i="23"/>
  <c r="G8" i="23"/>
  <c r="F8" i="23"/>
  <c r="E8" i="23"/>
  <c r="D8" i="23"/>
  <c r="X7" i="23"/>
  <c r="W7" i="23"/>
  <c r="V7" i="23"/>
  <c r="U7" i="23"/>
  <c r="T7" i="23"/>
  <c r="S7" i="23"/>
  <c r="R7" i="23"/>
  <c r="P7" i="23"/>
  <c r="O7" i="23"/>
  <c r="M7" i="23"/>
  <c r="L7" i="23"/>
  <c r="K7" i="23"/>
  <c r="J7" i="23"/>
  <c r="I7" i="23"/>
  <c r="G7" i="23"/>
  <c r="F7" i="23"/>
  <c r="E7" i="23"/>
  <c r="D7" i="23"/>
  <c r="X6" i="23"/>
  <c r="W6" i="23"/>
  <c r="V6" i="23"/>
  <c r="U6" i="23"/>
  <c r="T6" i="23"/>
  <c r="S6" i="23"/>
  <c r="R6" i="23"/>
  <c r="P6" i="23"/>
  <c r="O6" i="23"/>
  <c r="M6" i="23"/>
  <c r="L6" i="23"/>
  <c r="K6" i="23"/>
  <c r="J6" i="23"/>
  <c r="I6" i="23"/>
  <c r="G6" i="23"/>
  <c r="F6" i="23"/>
  <c r="E6" i="23"/>
  <c r="D6" i="23"/>
  <c r="X5" i="23"/>
  <c r="W5" i="23"/>
  <c r="V5" i="23"/>
  <c r="U5" i="23"/>
  <c r="T5" i="23"/>
  <c r="S5" i="23"/>
  <c r="R5" i="23"/>
  <c r="P5" i="23"/>
  <c r="O5" i="23"/>
  <c r="M5" i="23"/>
  <c r="L5" i="23"/>
  <c r="K5" i="23"/>
  <c r="J5" i="23"/>
  <c r="I5" i="23"/>
  <c r="G5" i="23"/>
  <c r="F5" i="23"/>
  <c r="E5" i="23"/>
  <c r="D5" i="23"/>
  <c r="X4" i="23"/>
  <c r="W4" i="23"/>
  <c r="V4" i="23"/>
  <c r="U4" i="23"/>
  <c r="T4" i="23"/>
  <c r="S4" i="23"/>
  <c r="R4" i="23"/>
  <c r="P4" i="23"/>
  <c r="O4" i="23"/>
  <c r="M4" i="23"/>
  <c r="L4" i="23"/>
  <c r="K4" i="23"/>
  <c r="J4" i="23"/>
  <c r="I4" i="23"/>
  <c r="G4" i="23"/>
  <c r="F4" i="23"/>
  <c r="E4" i="23"/>
  <c r="D4" i="23"/>
  <c r="X3" i="23"/>
  <c r="W3" i="23"/>
  <c r="V3" i="23"/>
  <c r="U3" i="23"/>
  <c r="T3" i="23"/>
  <c r="S3" i="23"/>
  <c r="R3" i="23"/>
  <c r="Q3" i="23"/>
  <c r="P3" i="23"/>
  <c r="O3" i="23"/>
  <c r="M3" i="23"/>
  <c r="L3" i="23"/>
  <c r="K3" i="23"/>
  <c r="J3" i="23"/>
  <c r="I3" i="23"/>
  <c r="G3" i="23"/>
  <c r="F3" i="23"/>
  <c r="E3" i="23"/>
  <c r="D3" i="23"/>
  <c r="X2" i="23"/>
  <c r="W2" i="11" s="1"/>
  <c r="W2" i="23"/>
  <c r="V2" i="11" s="1"/>
  <c r="V2" i="23"/>
  <c r="U2" i="11" s="1"/>
  <c r="U2" i="23"/>
  <c r="T2" i="11" s="1"/>
  <c r="T2" i="23"/>
  <c r="S2" i="11" s="1"/>
  <c r="S2" i="23"/>
  <c r="R2" i="11" s="1"/>
  <c r="R2" i="23"/>
  <c r="Q2" i="11" s="1"/>
  <c r="P2" i="23"/>
  <c r="O2" i="11" s="1"/>
  <c r="O2" i="23"/>
  <c r="N2" i="11" s="1"/>
  <c r="M2" i="23"/>
  <c r="L2" i="11" s="1"/>
  <c r="L2" i="23"/>
  <c r="K2" i="11" s="1"/>
  <c r="K2" i="23"/>
  <c r="J2" i="11" s="1"/>
  <c r="J2" i="23"/>
  <c r="I2" i="11" s="1"/>
  <c r="I2" i="23"/>
  <c r="H2" i="11" s="1"/>
  <c r="G2" i="23"/>
  <c r="F2" i="11" s="1"/>
  <c r="F2" i="23"/>
  <c r="E2" i="11" s="1"/>
  <c r="E2" i="23"/>
  <c r="D2" i="11" s="1"/>
  <c r="D2" i="23"/>
  <c r="C2" i="11" s="1"/>
  <c r="F2" i="14"/>
  <c r="E2" i="14"/>
  <c r="D2" i="14"/>
  <c r="C2" i="14"/>
  <c r="B2" i="14"/>
  <c r="B1" i="17" a="1"/>
  <c r="B1" i="16" a="1"/>
  <c r="B1" i="15" a="1"/>
  <c r="B1" i="15" s="1"/>
  <c r="B2" i="15" s="1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6" i="4"/>
  <c r="D6" i="4"/>
  <c r="E5" i="4"/>
  <c r="D5" i="4"/>
  <c r="E4" i="4"/>
  <c r="D4" i="4"/>
  <c r="E3" i="4"/>
  <c r="D3" i="4"/>
  <c r="E2" i="4"/>
  <c r="D2" i="4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Q10" i="23" l="1"/>
  <c r="Q22" i="23"/>
  <c r="Q5" i="23"/>
  <c r="Q17" i="23"/>
  <c r="Q24" i="23"/>
  <c r="Q12" i="23"/>
  <c r="Q7" i="23"/>
  <c r="Q19" i="23"/>
  <c r="Q2" i="23"/>
  <c r="P2" i="11" s="1"/>
  <c r="Q14" i="23"/>
  <c r="T24" i="23"/>
  <c r="Q9" i="23"/>
  <c r="Q21" i="23"/>
  <c r="O23" i="23"/>
  <c r="U24" i="23"/>
  <c r="Q4" i="23"/>
  <c r="Q16" i="23"/>
  <c r="Q11" i="23"/>
  <c r="Q23" i="23"/>
  <c r="Q25" i="23"/>
  <c r="Q6" i="23"/>
  <c r="Q18" i="23"/>
  <c r="Q13" i="23"/>
  <c r="Q8" i="23"/>
  <c r="N2" i="23"/>
  <c r="M2" i="11" s="1"/>
  <c r="N5" i="23"/>
  <c r="N8" i="23"/>
  <c r="N11" i="23"/>
  <c r="N14" i="23"/>
  <c r="N17" i="23"/>
  <c r="N20" i="23"/>
  <c r="N23" i="23"/>
  <c r="F8" i="2"/>
  <c r="N4" i="23"/>
  <c r="N7" i="23"/>
  <c r="N10" i="23"/>
  <c r="N13" i="23"/>
  <c r="N16" i="23"/>
  <c r="N19" i="23"/>
  <c r="N22" i="23"/>
  <c r="N25" i="23"/>
  <c r="O25" i="23"/>
  <c r="N3" i="23"/>
  <c r="N6" i="23"/>
  <c r="N9" i="23"/>
  <c r="N12" i="23"/>
  <c r="N15" i="23"/>
  <c r="N18" i="23"/>
  <c r="N21" i="23"/>
  <c r="H2" i="15"/>
  <c r="K2" i="15"/>
  <c r="I2" i="15"/>
  <c r="J2" i="15"/>
  <c r="L2" i="15"/>
  <c r="M2" i="15"/>
  <c r="N2" i="15"/>
  <c r="C2" i="15"/>
  <c r="O2" i="15"/>
  <c r="D2" i="15"/>
  <c r="P2" i="15"/>
  <c r="E2" i="15"/>
  <c r="Q2" i="15"/>
  <c r="F2" i="15"/>
  <c r="R2" i="15"/>
  <c r="G2" i="15"/>
  <c r="S2" i="15"/>
  <c r="K2" i="16"/>
  <c r="O2" i="16"/>
  <c r="P2" i="16"/>
  <c r="Q2" i="16"/>
  <c r="R2" i="16"/>
  <c r="D2" i="16"/>
  <c r="C2" i="16"/>
  <c r="E2" i="16"/>
  <c r="F2" i="16"/>
  <c r="G2" i="16"/>
  <c r="H2" i="16"/>
  <c r="N2" i="16"/>
  <c r="I2" i="16"/>
  <c r="L2" i="17"/>
  <c r="C2" i="17"/>
  <c r="O2" i="17"/>
  <c r="D2" i="17"/>
  <c r="P2" i="17"/>
  <c r="E2" i="17"/>
  <c r="Q2" i="17"/>
  <c r="N2" i="17"/>
  <c r="F2" i="17"/>
  <c r="R2" i="17"/>
  <c r="G2" i="17"/>
  <c r="J2" i="17"/>
  <c r="M2" i="17"/>
  <c r="S2" i="17"/>
  <c r="H2" i="17"/>
  <c r="I2" i="17"/>
  <c r="K2" i="17"/>
  <c r="S2" i="16"/>
  <c r="J2" i="16"/>
  <c r="L2" i="16"/>
  <c r="M2" i="16"/>
  <c r="B1" i="17"/>
  <c r="B1" i="16"/>
  <c r="B2" i="17" l="1"/>
  <c r="B2" i="16"/>
  <c r="C15" i="23" l="1"/>
  <c r="C21" i="23"/>
  <c r="H6" i="23"/>
  <c r="H12" i="23"/>
  <c r="H18" i="23"/>
  <c r="H24" i="23"/>
  <c r="H11" i="23"/>
  <c r="H17" i="23"/>
  <c r="H23" i="23"/>
  <c r="H5" i="23"/>
  <c r="C8" i="23"/>
  <c r="C14" i="23"/>
  <c r="C20" i="23"/>
  <c r="C9" i="23"/>
  <c r="H4" i="23"/>
  <c r="H10" i="23"/>
  <c r="H16" i="23"/>
  <c r="H22" i="23"/>
  <c r="F2" i="2"/>
  <c r="C7" i="23"/>
  <c r="C13" i="23"/>
  <c r="C19" i="23"/>
  <c r="C25" i="23"/>
  <c r="H3" i="23"/>
  <c r="H9" i="23"/>
  <c r="H15" i="23"/>
  <c r="H21" i="23"/>
  <c r="C6" i="23"/>
  <c r="C12" i="23"/>
  <c r="C18" i="23"/>
  <c r="C24" i="23"/>
  <c r="C2" i="23"/>
  <c r="B2" i="11" s="1"/>
  <c r="H2" i="23"/>
  <c r="G2" i="11" s="1"/>
  <c r="H8" i="23"/>
  <c r="H14" i="23"/>
  <c r="H20" i="23"/>
  <c r="C5" i="23"/>
  <c r="C11" i="23"/>
  <c r="C17" i="23"/>
  <c r="C23" i="23"/>
  <c r="H7" i="23"/>
  <c r="H13" i="23"/>
  <c r="H19" i="23"/>
  <c r="H25" i="23"/>
  <c r="C3" i="23"/>
  <c r="C4" i="23"/>
  <c r="C10" i="23"/>
  <c r="C16" i="23"/>
  <c r="C2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<sst xmlns="http://schemas.openxmlformats.org/spreadsheetml/2006/main" count="430" uniqueCount="185">
  <si>
    <t>name</t>
  </si>
  <si>
    <t>baseKV</t>
  </si>
  <si>
    <t>type</t>
  </si>
  <si>
    <t>zone</t>
  </si>
  <si>
    <t>busname</t>
  </si>
  <si>
    <t>real</t>
  </si>
  <si>
    <t>stat</t>
  </si>
  <si>
    <t>VOLL</t>
  </si>
  <si>
    <t>D1</t>
  </si>
  <si>
    <t>from_busname</t>
  </si>
  <si>
    <t>to_busname</t>
  </si>
  <si>
    <t>r</t>
  </si>
  <si>
    <t>x</t>
  </si>
  <si>
    <t>b</t>
  </si>
  <si>
    <t>ShortTermRating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</si>
  <si>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</si>
  <si>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</si>
  <si>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</si>
  <si>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</si>
  <si>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</si>
  <si>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</si>
  <si>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</si>
  <si>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</si>
  <si>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</si>
  <si>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prorata_groups</t>
  </si>
  <si>
    <t>synchronous</t>
  </si>
  <si>
    <t>Yes</t>
  </si>
  <si>
    <t>timestep</t>
  </si>
  <si>
    <t>t-1</t>
  </si>
  <si>
    <t>t-2</t>
  </si>
  <si>
    <t>MUON_group</t>
  </si>
  <si>
    <t>lifo_assignments</t>
  </si>
  <si>
    <t>QGLB</t>
  </si>
  <si>
    <t>QGUB</t>
  </si>
  <si>
    <t>reactive</t>
  </si>
  <si>
    <t>VLB</t>
  </si>
  <si>
    <t>VUB</t>
  </si>
  <si>
    <t>ContinuousRating</t>
  </si>
  <si>
    <t>StoreType</t>
  </si>
  <si>
    <t>Eff_In</t>
  </si>
  <si>
    <t>Eff_Out</t>
  </si>
  <si>
    <t>Standing_Loss</t>
  </si>
  <si>
    <t>Srated</t>
  </si>
  <si>
    <t>PGFB</t>
  </si>
  <si>
    <t>Int1</t>
  </si>
  <si>
    <t>Int2</t>
  </si>
  <si>
    <t>P</t>
  </si>
  <si>
    <t>from_zone_lu</t>
  </si>
  <si>
    <t>to_zone_lu</t>
  </si>
  <si>
    <t>PPLB-</t>
  </si>
  <si>
    <t>PPUB-</t>
  </si>
  <si>
    <t>PPLB+</t>
  </si>
  <si>
    <t>PPUB+</t>
  </si>
  <si>
    <t>PPFB-</t>
  </si>
  <si>
    <t>PPFB+</t>
  </si>
  <si>
    <t>winding12_resistance_pu</t>
  </si>
  <si>
    <t>winding12_reactance_pu</t>
  </si>
  <si>
    <t>winding1_rating_mva</t>
  </si>
  <si>
    <t>winding23_resistance_pu</t>
  </si>
  <si>
    <t>winding23_reactance_pu</t>
  </si>
  <si>
    <t>winding31_resistance_pu</t>
  </si>
  <si>
    <t>winding31_reactance_pu</t>
  </si>
  <si>
    <t>from_zone</t>
  </si>
  <si>
    <t>to_zone</t>
  </si>
  <si>
    <t>tertiary_zone</t>
  </si>
  <si>
    <t>winding2_rating_mva</t>
  </si>
  <si>
    <t>winding3_rating_mva</t>
  </si>
  <si>
    <t>from_bus_name</t>
  </si>
  <si>
    <t>to_bus_name</t>
  </si>
  <si>
    <t>tertiary_bus_name</t>
  </si>
  <si>
    <t>tertiary_busname</t>
  </si>
  <si>
    <t>costc1-</t>
  </si>
  <si>
    <t>costc1+</t>
  </si>
  <si>
    <t>gen_prorata_groups</t>
  </si>
  <si>
    <t>demand_prorata_groups</t>
  </si>
  <si>
    <t>import_policy</t>
  </si>
  <si>
    <t>Individual</t>
  </si>
  <si>
    <t>G1</t>
  </si>
  <si>
    <t>G2</t>
  </si>
  <si>
    <t>G3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</si>
  <si>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</si>
  <si>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</si>
  <si>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</si>
  <si>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</si>
  <si>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</si>
  <si>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</si>
  <si>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</si>
  <si>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</si>
  <si>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</si>
  <si>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</si>
  <si>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</si>
  <si>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</si>
  <si>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</si>
  <si>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</si>
  <si>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</si>
  <si>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</si>
  <si>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</si>
  <si>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</si>
  <si>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</si>
  <si>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</si>
  <si>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</si>
  <si>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</si>
  <si>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</si>
  <si>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</si>
  <si>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</si>
  <si>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</si>
  <si>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</si>
  <si>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</si>
  <si>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</si>
  <si>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</si>
  <si>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</si>
  <si>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</si>
  <si>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</si>
  <si>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</si>
  <si>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</si>
  <si>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</si>
  <si>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</si>
  <si>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</si>
  <si>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</si>
  <si>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</si>
  <si>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</si>
  <si>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</si>
  <si>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</si>
  <si>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</si>
  <si>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</si>
  <si>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</si>
  <si>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</si>
  <si>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</si>
  <si>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</si>
  <si>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</si>
  <si>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</si>
  <si>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</si>
  <si>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</si>
  <si>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</si>
  <si>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</si>
  <si>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</si>
  <si>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</si>
  <si>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</si>
  <si>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</si>
  <si>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</si>
  <si>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Synchronous</t>
  </si>
  <si>
    <t>D11</t>
  </si>
  <si>
    <t>D12</t>
  </si>
  <si>
    <t>D17</t>
  </si>
  <si>
    <t>total_%</t>
  </si>
  <si>
    <t>Wind</t>
  </si>
  <si>
    <t>No</t>
  </si>
  <si>
    <t>North</t>
  </si>
  <si>
    <t>W@1.1</t>
  </si>
  <si>
    <t>W@1.2</t>
  </si>
  <si>
    <t>W@2</t>
  </si>
  <si>
    <t>W@3</t>
  </si>
  <si>
    <t>W@5</t>
  </si>
  <si>
    <t>W@7</t>
  </si>
  <si>
    <t>South, 1+3</t>
  </si>
  <si>
    <t>Generic</t>
  </si>
  <si>
    <t>Pro-Rata</t>
  </si>
  <si>
    <t>P@1</t>
  </si>
  <si>
    <t>P@3</t>
  </si>
  <si>
    <t>TOTAL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</si>
  <si>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</si>
  <si>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</si>
  <si>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</si>
  <si>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</si>
  <si>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</si>
  <si>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</si>
  <si>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</si>
  <si>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</si>
  <si>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</si>
  <si>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</si>
  <si>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</si>
  <si>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</si>
  <si>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</si>
  <si>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</si>
  <si>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</si>
  <si>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</si>
  <si>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</si>
  <si>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</si>
  <si>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</si>
  <si>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</si>
  <si>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</si>
  <si>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</si>
  <si>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South, 13</t>
  </si>
  <si>
    <t>South, 257, 2357</t>
  </si>
  <si>
    <t>South, 13, 2357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</si>
</sst>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2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0" borderId="0" xfId="0" applyNumberFormat="1"/>
    <xf numFmtId="10" fontId="0" fillId="0" borderId="1" xfId="2" applyNumberFormat="1" applyFont="1" applyBorder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</cellXfs>
  <cellStyles count="4">
    <cellStyle name="Hyperlink" xfId="1" builtinId="8"/>
    <cellStyle name="Normal" xfId="0" builtinId="0"/>
    <cellStyle name="Normal 2" xfId="3" xr:uid="{9CB19371-364B-4E6B-882C-1974C74DBE02}"/>
    <cellStyle name="Percent" xfId="2" builtinId="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E78D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@2" TargetMode="External"/><Relationship Id="rId2" Type="http://schemas.openxmlformats.org/officeDocument/2006/relationships/hyperlink" Target="mailto:W@1.2" TargetMode="External"/><Relationship Id="rId1" Type="http://schemas.openxmlformats.org/officeDocument/2006/relationships/hyperlink" Target="mailto:W@1.1" TargetMode="External"/><Relationship Id="rId6" Type="http://schemas.openxmlformats.org/officeDocument/2006/relationships/hyperlink" Target="mailto:W@7" TargetMode="External"/><Relationship Id="rId5" Type="http://schemas.openxmlformats.org/officeDocument/2006/relationships/hyperlink" Target="mailto:W@5" TargetMode="External"/><Relationship Id="rId4" Type="http://schemas.openxmlformats.org/officeDocument/2006/relationships/hyperlink" Target="mailto:W@3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mailto:P@3" TargetMode="External"/><Relationship Id="rId1" Type="http://schemas.openxmlformats.org/officeDocument/2006/relationships/hyperlink" Target="mailto:P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10" zoomScaleNormal="110" workbookViewId="0">
      <selection activeCell="A11" sqref="A11"/>
    </sheetView>
  </sheetViews>
  <sheetFormatPr defaultColWidth="8.7109375" defaultRowHeight="15" x14ac:dyDescent="0.25"/>
  <cols>
    <col min="1" max="1020" width="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25">
      <c r="A2" s="3">
        <v>1</v>
      </c>
      <c r="B2" s="3">
        <v>138</v>
      </c>
      <c r="C2" s="3">
        <v>2</v>
      </c>
      <c r="D2" s="3">
        <v>1</v>
      </c>
      <c r="E2" s="3">
        <v>0.95</v>
      </c>
      <c r="F2" s="3">
        <v>1.05</v>
      </c>
    </row>
    <row r="3" spans="1:6" x14ac:dyDescent="0.25">
      <c r="A3" s="3">
        <v>2</v>
      </c>
      <c r="B3" s="3">
        <v>138</v>
      </c>
      <c r="C3" s="3">
        <v>2</v>
      </c>
      <c r="D3" s="3">
        <v>1</v>
      </c>
      <c r="E3" s="3">
        <v>0.95</v>
      </c>
      <c r="F3" s="3">
        <v>1.05</v>
      </c>
    </row>
    <row r="4" spans="1:6" x14ac:dyDescent="0.25">
      <c r="A4" s="3">
        <v>3</v>
      </c>
      <c r="B4" s="3">
        <v>138</v>
      </c>
      <c r="C4" s="3">
        <v>1</v>
      </c>
      <c r="D4" s="3">
        <v>1</v>
      </c>
      <c r="E4" s="3">
        <v>0.95</v>
      </c>
      <c r="F4" s="3">
        <v>1.05</v>
      </c>
    </row>
    <row r="5" spans="1:6" x14ac:dyDescent="0.25">
      <c r="A5" s="3">
        <v>4</v>
      </c>
      <c r="B5" s="3">
        <v>138</v>
      </c>
      <c r="C5" s="3">
        <v>1</v>
      </c>
      <c r="D5" s="3">
        <v>1</v>
      </c>
      <c r="E5" s="3">
        <v>0.95</v>
      </c>
      <c r="F5" s="3">
        <v>1.05</v>
      </c>
    </row>
    <row r="6" spans="1:6" x14ac:dyDescent="0.25">
      <c r="A6" s="3">
        <v>5</v>
      </c>
      <c r="B6" s="3">
        <v>138</v>
      </c>
      <c r="C6" s="3">
        <v>1</v>
      </c>
      <c r="D6" s="3">
        <v>1</v>
      </c>
      <c r="E6" s="3">
        <v>0.95</v>
      </c>
      <c r="F6" s="3">
        <v>1.05</v>
      </c>
    </row>
    <row r="7" spans="1:6" x14ac:dyDescent="0.25">
      <c r="A7" s="3">
        <v>6</v>
      </c>
      <c r="B7" s="3">
        <v>138</v>
      </c>
      <c r="C7" s="3">
        <v>1</v>
      </c>
      <c r="D7" s="3">
        <v>1</v>
      </c>
      <c r="E7" s="3">
        <v>0.95</v>
      </c>
      <c r="F7" s="3">
        <v>1.05</v>
      </c>
    </row>
    <row r="8" spans="1:6" x14ac:dyDescent="0.25">
      <c r="A8" s="3">
        <v>7</v>
      </c>
      <c r="B8" s="3">
        <v>138</v>
      </c>
      <c r="C8" s="3">
        <v>2</v>
      </c>
      <c r="D8" s="3">
        <v>1</v>
      </c>
      <c r="E8" s="3">
        <v>0.95</v>
      </c>
      <c r="F8" s="3">
        <v>1.05</v>
      </c>
    </row>
    <row r="9" spans="1:6" x14ac:dyDescent="0.25">
      <c r="A9" s="3">
        <v>8</v>
      </c>
      <c r="B9" s="3">
        <v>138</v>
      </c>
      <c r="C9" s="3">
        <v>1</v>
      </c>
      <c r="D9" s="3">
        <v>1</v>
      </c>
      <c r="E9" s="3">
        <v>0.95</v>
      </c>
      <c r="F9" s="3">
        <v>1.05</v>
      </c>
    </row>
    <row r="10" spans="1:6" x14ac:dyDescent="0.25">
      <c r="A10" s="3">
        <v>9</v>
      </c>
      <c r="B10" s="3">
        <v>138</v>
      </c>
      <c r="C10" s="3">
        <v>1</v>
      </c>
      <c r="D10" s="3">
        <v>1</v>
      </c>
      <c r="E10" s="3">
        <v>0.95</v>
      </c>
      <c r="F10" s="3">
        <v>1.05</v>
      </c>
    </row>
    <row r="11" spans="1:6" x14ac:dyDescent="0.25">
      <c r="A11" s="3">
        <v>10</v>
      </c>
      <c r="B11" s="3">
        <v>138</v>
      </c>
      <c r="C11" s="3">
        <v>1</v>
      </c>
      <c r="D11" s="3">
        <v>1</v>
      </c>
      <c r="E11" s="3">
        <v>0.95</v>
      </c>
      <c r="F11" s="3">
        <v>1.05</v>
      </c>
    </row>
    <row r="12" spans="1:6" x14ac:dyDescent="0.25">
      <c r="A12" s="3">
        <v>11</v>
      </c>
      <c r="B12" s="3">
        <v>230</v>
      </c>
      <c r="C12" s="3">
        <v>1</v>
      </c>
      <c r="D12" s="3">
        <v>1</v>
      </c>
      <c r="E12" s="3">
        <v>0.95</v>
      </c>
      <c r="F12" s="3">
        <v>1.05</v>
      </c>
    </row>
    <row r="13" spans="1:6" x14ac:dyDescent="0.25">
      <c r="A13" s="3">
        <v>12</v>
      </c>
      <c r="B13" s="3">
        <v>230</v>
      </c>
      <c r="C13" s="3">
        <v>1</v>
      </c>
      <c r="D13" s="3">
        <v>1</v>
      </c>
      <c r="E13" s="3">
        <v>0.95</v>
      </c>
      <c r="F13" s="3">
        <v>1.05</v>
      </c>
    </row>
    <row r="14" spans="1:6" x14ac:dyDescent="0.25">
      <c r="A14" s="3">
        <v>13</v>
      </c>
      <c r="B14" s="3">
        <v>230</v>
      </c>
      <c r="C14" s="3">
        <v>3</v>
      </c>
      <c r="D14" s="3">
        <v>1</v>
      </c>
      <c r="E14" s="3">
        <v>0.95</v>
      </c>
      <c r="F14" s="3">
        <v>1.05</v>
      </c>
    </row>
    <row r="15" spans="1:6" x14ac:dyDescent="0.25">
      <c r="A15" s="3">
        <v>14</v>
      </c>
      <c r="B15" s="3">
        <v>230</v>
      </c>
      <c r="C15" s="3">
        <v>2</v>
      </c>
      <c r="D15" s="3">
        <v>1</v>
      </c>
      <c r="E15" s="3">
        <v>0.95</v>
      </c>
      <c r="F15" s="3">
        <v>1.05</v>
      </c>
    </row>
    <row r="16" spans="1:6" x14ac:dyDescent="0.25">
      <c r="A16" s="3">
        <v>15</v>
      </c>
      <c r="B16" s="3">
        <v>230</v>
      </c>
      <c r="C16" s="3">
        <v>2</v>
      </c>
      <c r="D16" s="3">
        <v>1</v>
      </c>
      <c r="E16" s="3">
        <v>0.95</v>
      </c>
      <c r="F16" s="3">
        <v>1.05</v>
      </c>
    </row>
    <row r="17" spans="1:6" x14ac:dyDescent="0.25">
      <c r="A17" s="3">
        <v>16</v>
      </c>
      <c r="B17" s="3">
        <v>230</v>
      </c>
      <c r="C17" s="3">
        <v>2</v>
      </c>
      <c r="D17" s="3">
        <v>1</v>
      </c>
      <c r="E17" s="3">
        <v>0.95</v>
      </c>
      <c r="F17" s="3">
        <v>1.05</v>
      </c>
    </row>
    <row r="18" spans="1:6" x14ac:dyDescent="0.25">
      <c r="A18" s="3">
        <v>17</v>
      </c>
      <c r="B18" s="3">
        <v>230</v>
      </c>
      <c r="C18" s="3">
        <v>1</v>
      </c>
      <c r="D18" s="3">
        <v>1</v>
      </c>
      <c r="E18" s="3">
        <v>0.95</v>
      </c>
      <c r="F18" s="3">
        <v>1.05</v>
      </c>
    </row>
    <row r="19" spans="1:6" x14ac:dyDescent="0.25">
      <c r="A19" s="3">
        <v>18</v>
      </c>
      <c r="B19" s="3">
        <v>230</v>
      </c>
      <c r="C19" s="3">
        <v>2</v>
      </c>
      <c r="D19" s="3">
        <v>1</v>
      </c>
      <c r="E19" s="3">
        <v>0.95</v>
      </c>
      <c r="F19" s="3">
        <v>1.05</v>
      </c>
    </row>
    <row r="20" spans="1:6" x14ac:dyDescent="0.25">
      <c r="A20" s="3">
        <v>19</v>
      </c>
      <c r="B20" s="3">
        <v>230</v>
      </c>
      <c r="C20" s="3">
        <v>1</v>
      </c>
      <c r="D20" s="3">
        <v>1</v>
      </c>
      <c r="E20" s="3">
        <v>0.95</v>
      </c>
      <c r="F20" s="3">
        <v>1.05</v>
      </c>
    </row>
    <row r="21" spans="1:6" x14ac:dyDescent="0.25">
      <c r="A21" s="3">
        <v>20</v>
      </c>
      <c r="B21" s="3">
        <v>230</v>
      </c>
      <c r="C21" s="3">
        <v>1</v>
      </c>
      <c r="D21" s="3">
        <v>1</v>
      </c>
      <c r="E21" s="3">
        <v>0.95</v>
      </c>
      <c r="F21" s="3">
        <v>1.05</v>
      </c>
    </row>
    <row r="22" spans="1:6" x14ac:dyDescent="0.25">
      <c r="A22" s="3">
        <v>21</v>
      </c>
      <c r="B22" s="3">
        <v>230</v>
      </c>
      <c r="C22" s="3">
        <v>2</v>
      </c>
      <c r="D22" s="3">
        <v>1</v>
      </c>
      <c r="E22" s="3">
        <v>0.95</v>
      </c>
      <c r="F22" s="3">
        <v>1.05</v>
      </c>
    </row>
    <row r="23" spans="1:6" x14ac:dyDescent="0.25">
      <c r="A23" s="3">
        <v>22</v>
      </c>
      <c r="B23" s="3">
        <v>230</v>
      </c>
      <c r="C23" s="3">
        <v>2</v>
      </c>
      <c r="D23" s="3">
        <v>1</v>
      </c>
      <c r="E23" s="3">
        <v>0.95</v>
      </c>
      <c r="F23" s="3">
        <v>1.05</v>
      </c>
    </row>
    <row r="24" spans="1:6" x14ac:dyDescent="0.25">
      <c r="A24" s="3">
        <v>23</v>
      </c>
      <c r="B24" s="3">
        <v>230</v>
      </c>
      <c r="C24" s="3">
        <v>2</v>
      </c>
      <c r="D24" s="3">
        <v>1</v>
      </c>
      <c r="E24" s="3">
        <v>0.95</v>
      </c>
      <c r="F24" s="3">
        <v>1.05</v>
      </c>
    </row>
    <row r="25" spans="1:6" x14ac:dyDescent="0.25">
      <c r="A25" s="3">
        <v>24</v>
      </c>
      <c r="B25" s="3">
        <v>230</v>
      </c>
      <c r="C25" s="3">
        <v>1</v>
      </c>
      <c r="D25" s="3">
        <v>1</v>
      </c>
      <c r="E25" s="3">
        <v>0.95</v>
      </c>
      <c r="F25" s="3">
        <v>1.05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L18"/>
  <sheetViews>
    <sheetView zoomScale="110" zoomScaleNormal="110" workbookViewId="0">
      <selection activeCell="F29" sqref="F29"/>
    </sheetView>
  </sheetViews>
  <sheetFormatPr defaultColWidth="8.7109375" defaultRowHeight="15" x14ac:dyDescent="0.25"/>
  <cols>
    <col min="1" max="2" width="8.42578125" customWidth="1"/>
    <col min="3" max="3" width="13.5703125" bestFit="1" customWidth="1"/>
    <col min="4" max="4" width="15" bestFit="1" customWidth="1"/>
    <col min="5" max="5" width="15" customWidth="1"/>
    <col min="6" max="9" width="8.42578125" customWidth="1"/>
    <col min="10" max="10" width="15.7109375" customWidth="1"/>
    <col min="11" max="1028" width="8.42578125" customWidth="1"/>
  </cols>
  <sheetData>
    <row r="1" spans="1:12" x14ac:dyDescent="0.25">
      <c r="A1" s="1" t="s">
        <v>0</v>
      </c>
      <c r="B1" s="1" t="s">
        <v>4</v>
      </c>
      <c r="C1" s="1" t="s">
        <v>75</v>
      </c>
      <c r="D1" s="1" t="s">
        <v>24</v>
      </c>
      <c r="E1" s="1" t="s">
        <v>144</v>
      </c>
      <c r="F1" s="1" t="s">
        <v>5</v>
      </c>
      <c r="G1" s="1" t="s">
        <v>34</v>
      </c>
      <c r="H1" s="1" t="s">
        <v>6</v>
      </c>
      <c r="I1" s="1" t="s">
        <v>7</v>
      </c>
    </row>
    <row r="2" spans="1:12" x14ac:dyDescent="0.25">
      <c r="A2" s="3" t="s">
        <v>8</v>
      </c>
      <c r="B2" s="3">
        <v>1</v>
      </c>
      <c r="C2" s="9" t="s">
        <v>76</v>
      </c>
      <c r="D2" s="9"/>
      <c r="E2" s="26">
        <v>1.9E-2</v>
      </c>
      <c r="F2" s="15">
        <f>1775.835*E2</f>
        <v>33.740864999999999</v>
      </c>
      <c r="G2" s="15"/>
      <c r="H2" s="3">
        <v>1</v>
      </c>
      <c r="I2" s="3">
        <v>7000</v>
      </c>
      <c r="J2" s="28"/>
    </row>
    <row r="3" spans="1:12" x14ac:dyDescent="0.25">
      <c r="A3" s="3" t="s">
        <v>80</v>
      </c>
      <c r="B3" s="3">
        <v>2</v>
      </c>
      <c r="C3" s="9" t="s">
        <v>76</v>
      </c>
      <c r="D3" s="9"/>
      <c r="E3" s="26">
        <v>1.7000000000000001E-2</v>
      </c>
      <c r="F3" s="15">
        <f t="shared" ref="F3:F18" si="0">1775.835*E3</f>
        <v>30.189195000000002</v>
      </c>
      <c r="G3" s="15"/>
      <c r="H3" s="3">
        <v>1</v>
      </c>
      <c r="I3" s="3">
        <v>7000</v>
      </c>
      <c r="J3" s="28"/>
    </row>
    <row r="4" spans="1:12" x14ac:dyDescent="0.25">
      <c r="A4" s="3" t="s">
        <v>81</v>
      </c>
      <c r="B4" s="3">
        <v>3</v>
      </c>
      <c r="C4" s="9" t="s">
        <v>76</v>
      </c>
      <c r="D4" s="9"/>
      <c r="E4" s="26">
        <v>3.2000000000000001E-2</v>
      </c>
      <c r="F4" s="15">
        <f t="shared" si="0"/>
        <v>56.826720000000002</v>
      </c>
      <c r="G4" s="15"/>
      <c r="H4" s="3">
        <v>1</v>
      </c>
      <c r="I4" s="3">
        <v>7000</v>
      </c>
      <c r="J4" s="28"/>
    </row>
    <row r="5" spans="1:12" x14ac:dyDescent="0.25">
      <c r="A5" s="3" t="s">
        <v>82</v>
      </c>
      <c r="B5" s="3">
        <v>4</v>
      </c>
      <c r="C5" s="9" t="s">
        <v>76</v>
      </c>
      <c r="D5" s="9"/>
      <c r="E5" s="26">
        <v>1.3000000000000001E-2</v>
      </c>
      <c r="F5" s="15">
        <f t="shared" si="0"/>
        <v>23.085855000000002</v>
      </c>
      <c r="G5" s="15"/>
      <c r="H5" s="3">
        <v>1</v>
      </c>
      <c r="I5" s="3">
        <v>7000</v>
      </c>
      <c r="J5" s="28"/>
    </row>
    <row r="6" spans="1:12" x14ac:dyDescent="0.25">
      <c r="A6" s="3" t="s">
        <v>83</v>
      </c>
      <c r="B6" s="3">
        <v>5</v>
      </c>
      <c r="C6" s="9" t="s">
        <v>76</v>
      </c>
      <c r="D6" s="9"/>
      <c r="E6" s="26">
        <v>1.3000000000000001E-2</v>
      </c>
      <c r="F6" s="15">
        <f t="shared" si="0"/>
        <v>23.085855000000002</v>
      </c>
      <c r="G6" s="15"/>
      <c r="H6" s="3">
        <v>1</v>
      </c>
      <c r="I6" s="3">
        <v>7000</v>
      </c>
      <c r="J6" s="28"/>
    </row>
    <row r="7" spans="1:12" x14ac:dyDescent="0.25">
      <c r="A7" s="3" t="s">
        <v>84</v>
      </c>
      <c r="B7" s="3">
        <v>6</v>
      </c>
      <c r="C7" s="9" t="s">
        <v>76</v>
      </c>
      <c r="D7" s="9"/>
      <c r="E7" s="26">
        <v>2.4E-2</v>
      </c>
      <c r="F7" s="15">
        <f t="shared" si="0"/>
        <v>42.620040000000003</v>
      </c>
      <c r="G7" s="15"/>
      <c r="H7" s="3">
        <v>1</v>
      </c>
      <c r="I7" s="3">
        <v>7000</v>
      </c>
      <c r="J7" s="28"/>
    </row>
    <row r="8" spans="1:12" x14ac:dyDescent="0.25">
      <c r="A8" s="3" t="s">
        <v>85</v>
      </c>
      <c r="B8" s="3">
        <v>7</v>
      </c>
      <c r="C8" s="9" t="s">
        <v>76</v>
      </c>
      <c r="D8" s="9"/>
      <c r="E8" s="26">
        <v>2.2000000000000002E-2</v>
      </c>
      <c r="F8" s="15">
        <f t="shared" si="0"/>
        <v>39.068370000000002</v>
      </c>
      <c r="G8" s="15"/>
      <c r="H8" s="3">
        <v>1</v>
      </c>
      <c r="I8" s="3">
        <v>7000</v>
      </c>
      <c r="J8" s="28"/>
    </row>
    <row r="9" spans="1:12" x14ac:dyDescent="0.25">
      <c r="A9" s="3" t="s">
        <v>86</v>
      </c>
      <c r="B9" s="3">
        <v>8</v>
      </c>
      <c r="C9" s="9" t="s">
        <v>76</v>
      </c>
      <c r="D9" s="9"/>
      <c r="E9" s="26">
        <v>0.03</v>
      </c>
      <c r="F9" s="15">
        <f t="shared" si="0"/>
        <v>53.27505</v>
      </c>
      <c r="G9" s="15"/>
      <c r="H9" s="3">
        <v>1</v>
      </c>
      <c r="I9" s="3">
        <v>7000</v>
      </c>
      <c r="J9" s="28"/>
    </row>
    <row r="10" spans="1:12" x14ac:dyDescent="0.25">
      <c r="A10" s="3" t="s">
        <v>87</v>
      </c>
      <c r="B10" s="3">
        <v>9</v>
      </c>
      <c r="C10" s="9" t="s">
        <v>76</v>
      </c>
      <c r="D10" s="9"/>
      <c r="E10" s="26">
        <v>3.1E-2</v>
      </c>
      <c r="F10" s="15">
        <f t="shared" si="0"/>
        <v>55.050885000000001</v>
      </c>
      <c r="G10" s="15"/>
      <c r="H10" s="3">
        <v>1</v>
      </c>
      <c r="I10" s="3">
        <v>7000</v>
      </c>
      <c r="J10" s="28"/>
    </row>
    <row r="11" spans="1:12" x14ac:dyDescent="0.25">
      <c r="A11" s="3" t="s">
        <v>88</v>
      </c>
      <c r="B11" s="3">
        <v>10</v>
      </c>
      <c r="C11" s="9" t="s">
        <v>76</v>
      </c>
      <c r="D11" s="9"/>
      <c r="E11" s="26">
        <v>3.4000000000000002E-2</v>
      </c>
      <c r="F11" s="15">
        <f t="shared" si="0"/>
        <v>60.378390000000003</v>
      </c>
      <c r="G11" s="15"/>
      <c r="H11" s="3">
        <v>1</v>
      </c>
      <c r="I11" s="3">
        <v>7000</v>
      </c>
      <c r="J11" s="28"/>
      <c r="K11" s="25"/>
      <c r="L11" s="25"/>
    </row>
    <row r="12" spans="1:12" x14ac:dyDescent="0.25">
      <c r="A12" s="3" t="s">
        <v>141</v>
      </c>
      <c r="B12" s="3">
        <v>13</v>
      </c>
      <c r="C12" s="9" t="s">
        <v>76</v>
      </c>
      <c r="D12" s="9"/>
      <c r="E12" s="26">
        <v>0.13400000000000001</v>
      </c>
      <c r="F12" s="15">
        <f t="shared" si="0"/>
        <v>237.96189000000001</v>
      </c>
      <c r="G12" s="15"/>
      <c r="H12" s="3">
        <v>1</v>
      </c>
      <c r="I12" s="3">
        <v>7000</v>
      </c>
      <c r="J12" s="28"/>
    </row>
    <row r="13" spans="1:12" x14ac:dyDescent="0.25">
      <c r="A13" s="3" t="s">
        <v>142</v>
      </c>
      <c r="B13" s="3">
        <v>14</v>
      </c>
      <c r="C13" s="9" t="s">
        <v>76</v>
      </c>
      <c r="D13" s="9"/>
      <c r="E13" s="26">
        <v>9.8000000000000004E-2</v>
      </c>
      <c r="F13" s="15">
        <f t="shared" si="0"/>
        <v>174.03183000000001</v>
      </c>
      <c r="G13" s="15"/>
      <c r="H13" s="3">
        <v>1</v>
      </c>
      <c r="I13" s="3">
        <v>7000</v>
      </c>
      <c r="J13" s="28"/>
      <c r="K13" s="25"/>
    </row>
    <row r="14" spans="1:12" x14ac:dyDescent="0.25">
      <c r="A14" s="3" t="s">
        <v>89</v>
      </c>
      <c r="B14" s="3">
        <v>15</v>
      </c>
      <c r="C14" s="9" t="s">
        <v>76</v>
      </c>
      <c r="D14" s="9"/>
      <c r="E14" s="26">
        <v>0.16</v>
      </c>
      <c r="F14" s="15">
        <f t="shared" si="0"/>
        <v>284.1336</v>
      </c>
      <c r="G14" s="15"/>
      <c r="H14" s="3">
        <v>1</v>
      </c>
      <c r="I14" s="3">
        <v>7000</v>
      </c>
      <c r="J14" s="28"/>
      <c r="K14" s="27"/>
    </row>
    <row r="15" spans="1:12" x14ac:dyDescent="0.25">
      <c r="A15" s="3" t="s">
        <v>90</v>
      </c>
      <c r="B15" s="3">
        <v>16</v>
      </c>
      <c r="C15" s="9" t="s">
        <v>76</v>
      </c>
      <c r="D15" s="9"/>
      <c r="E15" s="26">
        <v>0.05</v>
      </c>
      <c r="F15" s="15">
        <f t="shared" si="0"/>
        <v>88.791750000000008</v>
      </c>
      <c r="G15" s="15"/>
      <c r="H15" s="3">
        <v>1</v>
      </c>
      <c r="I15" s="3">
        <v>7000</v>
      </c>
      <c r="J15" s="28"/>
      <c r="K15" s="25"/>
    </row>
    <row r="16" spans="1:12" x14ac:dyDescent="0.25">
      <c r="A16" s="3" t="s">
        <v>91</v>
      </c>
      <c r="B16" s="3">
        <v>18</v>
      </c>
      <c r="C16" s="9" t="s">
        <v>76</v>
      </c>
      <c r="D16" s="9"/>
      <c r="E16" s="26">
        <v>0.16800000000000001</v>
      </c>
      <c r="F16" s="15">
        <f t="shared" si="0"/>
        <v>298.34028000000001</v>
      </c>
      <c r="G16" s="15"/>
      <c r="H16" s="3">
        <v>1</v>
      </c>
      <c r="I16" s="3">
        <v>7000</v>
      </c>
      <c r="J16" s="28"/>
    </row>
    <row r="17" spans="1:10" x14ac:dyDescent="0.25">
      <c r="A17" s="3" t="s">
        <v>92</v>
      </c>
      <c r="B17" s="3">
        <v>19</v>
      </c>
      <c r="C17" s="9" t="s">
        <v>76</v>
      </c>
      <c r="D17" s="9"/>
      <c r="E17" s="26">
        <v>0.09</v>
      </c>
      <c r="F17" s="15">
        <f t="shared" si="0"/>
        <v>159.82515000000001</v>
      </c>
      <c r="G17" s="15"/>
      <c r="H17" s="3">
        <v>1</v>
      </c>
      <c r="I17" s="3">
        <v>7000</v>
      </c>
      <c r="J17" s="28"/>
    </row>
    <row r="18" spans="1:10" x14ac:dyDescent="0.25">
      <c r="A18" s="3" t="s">
        <v>143</v>
      </c>
      <c r="B18" s="3">
        <v>20</v>
      </c>
      <c r="C18" s="9" t="s">
        <v>76</v>
      </c>
      <c r="D18" s="9"/>
      <c r="E18" s="26">
        <v>6.5000000000000002E-2</v>
      </c>
      <c r="F18" s="15">
        <f t="shared" si="0"/>
        <v>115.429275</v>
      </c>
      <c r="G18" s="15"/>
      <c r="H18" s="3">
        <v>1</v>
      </c>
      <c r="I18" s="3">
        <v>7000</v>
      </c>
      <c r="J18" s="28"/>
    </row>
  </sheetData>
  <phoneticPr fontId="5" type="noConversion"/>
  <dataValidations disablePrompts="1" count="1">
    <dataValidation type="list" allowBlank="1" showInputMessage="1" showErrorMessage="1" sqref="C2:D18" xr:uid="{BAF16A5F-D7AC-4D8E-84C6-3D14C6A64A92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W2"/>
  <sheetViews>
    <sheetView zoomScale="110" zoomScaleNormal="110" workbookViewId="0">
      <selection activeCell="G6" sqref="G6"/>
    </sheetView>
  </sheetViews>
  <sheetFormatPr defaultColWidth="8.7109375" defaultRowHeight="15" x14ac:dyDescent="0.25"/>
  <cols>
    <col min="1" max="1" width="9.140625" customWidth="1"/>
    <col min="2" max="4" width="8.42578125" customWidth="1"/>
    <col min="5" max="5" width="11.28515625" bestFit="1" customWidth="1"/>
    <col min="6" max="1017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f>'PD Calculator'!C2</f>
        <v>47.5</v>
      </c>
      <c r="C2" s="16">
        <f>'PD Calculator'!D2</f>
        <v>42.5</v>
      </c>
      <c r="D2" s="16">
        <f>'PD Calculator'!E2</f>
        <v>80</v>
      </c>
      <c r="E2" s="16">
        <f>'PD Calculator'!F2</f>
        <v>32.5</v>
      </c>
      <c r="F2" s="16">
        <f>'PD Calculator'!G2</f>
        <v>32.5</v>
      </c>
      <c r="G2" s="16">
        <f>'PD Calculator'!H2</f>
        <v>47.5</v>
      </c>
      <c r="H2" s="16">
        <f>'PD Calculator'!I2</f>
        <v>42.5</v>
      </c>
      <c r="I2" s="16">
        <f>'PD Calculator'!J2</f>
        <v>80</v>
      </c>
      <c r="J2" s="16">
        <f>'PD Calculator'!K2</f>
        <v>32.5</v>
      </c>
      <c r="K2" s="16">
        <f>'PD Calculator'!L2</f>
        <v>32.5</v>
      </c>
      <c r="L2" s="16">
        <f>'PD Calculator'!M2</f>
        <v>60</v>
      </c>
      <c r="M2" s="16">
        <f>'PD Calculator'!N2</f>
        <v>55.000000000000007</v>
      </c>
      <c r="N2" s="16">
        <f>'PD Calculator'!O2</f>
        <v>75</v>
      </c>
      <c r="O2" s="16">
        <f>'PD Calculator'!P2</f>
        <v>77.5</v>
      </c>
      <c r="P2" s="16">
        <f>'PD Calculator'!Q2</f>
        <v>85</v>
      </c>
      <c r="Q2" s="16">
        <f>'PD Calculator'!R2</f>
        <v>335</v>
      </c>
      <c r="R2" s="16">
        <f>'PD Calculator'!S2</f>
        <v>245</v>
      </c>
      <c r="S2" s="16">
        <f>'PD Calculator'!T2</f>
        <v>400</v>
      </c>
      <c r="T2" s="16">
        <f>'PD Calculator'!U2</f>
        <v>125</v>
      </c>
      <c r="U2" s="16">
        <f>'PD Calculator'!V2</f>
        <v>420</v>
      </c>
      <c r="V2" s="16">
        <f>'PD Calculator'!W2</f>
        <v>225</v>
      </c>
      <c r="W2" s="16">
        <f>'PD Calculator'!X2</f>
        <v>162.5</v>
      </c>
    </row>
  </sheetData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2940-77E2-4D92-98A6-041659BF5C06}">
  <sheetPr>
    <tabColor theme="5" tint="0.79998168889431442"/>
  </sheetPr>
  <dimension ref="A1:X25"/>
  <sheetViews>
    <sheetView workbookViewId="0">
      <selection activeCell="C3" sqref="C3"/>
    </sheetView>
  </sheetViews>
  <sheetFormatPr defaultRowHeight="15" x14ac:dyDescent="0.25"/>
  <sheetData>
    <row r="1" spans="1:24" x14ac:dyDescent="0.25">
      <c r="A1" s="2" t="s">
        <v>27</v>
      </c>
      <c r="B1" s="2" t="s">
        <v>159</v>
      </c>
      <c r="C1" s="2" t="s">
        <v>8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141</v>
      </c>
      <c r="S1" s="2" t="s">
        <v>142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143</v>
      </c>
    </row>
    <row r="2" spans="1:24" x14ac:dyDescent="0.25">
      <c r="A2" s="4" t="s">
        <v>28</v>
      </c>
      <c r="B2" s="4">
        <v>2500</v>
      </c>
      <c r="C2" s="16">
        <f>_xlfn.XLOOKUP(C$1,demand!$A$2:$A$18,demand!$E$2:$E$18)*$B2</f>
        <v>47.5</v>
      </c>
      <c r="D2" s="16">
        <f>_xlfn.XLOOKUP(D$1,demand!$A$2:$A$18,demand!$E$2:$E$18)*$B2</f>
        <v>42.5</v>
      </c>
      <c r="E2" s="16">
        <f>_xlfn.XLOOKUP(E$1,demand!$A$2:$A$18,demand!$E$2:$E$18)*$B2</f>
        <v>80</v>
      </c>
      <c r="F2" s="16">
        <f>_xlfn.XLOOKUP(F$1,demand!$A$2:$A$18,demand!$E$2:$E$18)*$B2</f>
        <v>32.5</v>
      </c>
      <c r="G2" s="16">
        <f>_xlfn.XLOOKUP(G$1,demand!$A$2:$A$18,demand!$E$2:$E$18)*$B2</f>
        <v>32.5</v>
      </c>
      <c r="H2" s="16">
        <f>_xlfn.XLOOKUP(H$1,demand!$A$2:$A$18,demand!$E$2:$E$18)*$B2</f>
        <v>47.5</v>
      </c>
      <c r="I2" s="16">
        <f>_xlfn.XLOOKUP(I$1,demand!$A$2:$A$18,demand!$E$2:$E$18)*$B2</f>
        <v>42.5</v>
      </c>
      <c r="J2" s="16">
        <f>_xlfn.XLOOKUP(J$1,demand!$A$2:$A$18,demand!$E$2:$E$18)*$B2</f>
        <v>80</v>
      </c>
      <c r="K2" s="16">
        <f>_xlfn.XLOOKUP(K$1,demand!$A$2:$A$18,demand!$E$2:$E$18)*$B2</f>
        <v>32.5</v>
      </c>
      <c r="L2" s="16">
        <f>_xlfn.XLOOKUP(L$1,demand!$A$2:$A$18,demand!$E$2:$E$18)*$B2</f>
        <v>32.5</v>
      </c>
      <c r="M2" s="16">
        <f>_xlfn.XLOOKUP(M$1,demand!$A$2:$A$18,demand!$E$2:$E$18)*$B2</f>
        <v>60</v>
      </c>
      <c r="N2" s="16">
        <f>_xlfn.XLOOKUP(N$1,demand!$A$2:$A$18,demand!$E$2:$E$18)*$B2</f>
        <v>55.000000000000007</v>
      </c>
      <c r="O2" s="16">
        <f>_xlfn.XLOOKUP(O$1,demand!$A$2:$A$18,demand!$E$2:$E$18)*$B2</f>
        <v>75</v>
      </c>
      <c r="P2" s="16">
        <f>_xlfn.XLOOKUP(P$1,demand!$A$2:$A$18,demand!$E$2:$E$18)*$B2</f>
        <v>77.5</v>
      </c>
      <c r="Q2" s="16">
        <f>_xlfn.XLOOKUP(Q$1,demand!$A$2:$A$18,demand!$E$2:$E$18)*$B2</f>
        <v>85</v>
      </c>
      <c r="R2" s="16">
        <f>_xlfn.XLOOKUP(R$1,demand!$A$2:$A$18,demand!$E$2:$E$18)*$B2</f>
        <v>335</v>
      </c>
      <c r="S2" s="16">
        <f>_xlfn.XLOOKUP(S$1,demand!$A$2:$A$18,demand!$E$2:$E$18)*$B2</f>
        <v>245</v>
      </c>
      <c r="T2" s="16">
        <f>_xlfn.XLOOKUP(T$1,demand!$A$2:$A$18,demand!$E$2:$E$18)*$B2</f>
        <v>400</v>
      </c>
      <c r="U2" s="16">
        <f>_xlfn.XLOOKUP(U$1,demand!$A$2:$A$18,demand!$E$2:$E$18)*$B2</f>
        <v>125</v>
      </c>
      <c r="V2" s="16">
        <f>_xlfn.XLOOKUP(V$1,demand!$A$2:$A$18,demand!$E$2:$E$18)*$B2</f>
        <v>420</v>
      </c>
      <c r="W2" s="16">
        <f>_xlfn.XLOOKUP(W$1,demand!$A$2:$A$18,demand!$E$2:$E$18)*$B2</f>
        <v>225</v>
      </c>
      <c r="X2" s="16">
        <f>_xlfn.XLOOKUP(X$1,demand!$A$2:$A$18,demand!$E$2:$E$18)*$B2</f>
        <v>162.5</v>
      </c>
    </row>
    <row r="3" spans="1:24" x14ac:dyDescent="0.25">
      <c r="A3" s="4" t="s">
        <v>29</v>
      </c>
      <c r="B3" s="4">
        <v>100</v>
      </c>
      <c r="C3" s="16">
        <f>_xlfn.XLOOKUP(C$1,demand!$A$2:$A$18,demand!$E$2:$E$18)*$B3</f>
        <v>1.9</v>
      </c>
      <c r="D3" s="16">
        <f>_xlfn.XLOOKUP(D$1,demand!$A$2:$A$18,demand!$E$2:$E$18)*$B3</f>
        <v>1.7000000000000002</v>
      </c>
      <c r="E3" s="16">
        <f>_xlfn.XLOOKUP(E$1,demand!$A$2:$A$18,demand!$E$2:$E$18)*$B3</f>
        <v>3.2</v>
      </c>
      <c r="F3" s="16">
        <f>_xlfn.XLOOKUP(F$1,demand!$A$2:$A$18,demand!$E$2:$E$18)*$B3</f>
        <v>1.3</v>
      </c>
      <c r="G3" s="16">
        <f>_xlfn.XLOOKUP(G$1,demand!$A$2:$A$18,demand!$E$2:$E$18)*$B3</f>
        <v>1.3</v>
      </c>
      <c r="H3" s="16">
        <f>_xlfn.XLOOKUP(H$1,demand!$A$2:$A$18,demand!$E$2:$E$18)*$B3</f>
        <v>1.9</v>
      </c>
      <c r="I3" s="16">
        <f>_xlfn.XLOOKUP(I$1,demand!$A$2:$A$18,demand!$E$2:$E$18)*$B3</f>
        <v>1.7000000000000002</v>
      </c>
      <c r="J3" s="16">
        <f>_xlfn.XLOOKUP(J$1,demand!$A$2:$A$18,demand!$E$2:$E$18)*$B3</f>
        <v>3.2</v>
      </c>
      <c r="K3" s="16">
        <f>_xlfn.XLOOKUP(K$1,demand!$A$2:$A$18,demand!$E$2:$E$18)*$B3</f>
        <v>1.3</v>
      </c>
      <c r="L3" s="16">
        <f>_xlfn.XLOOKUP(L$1,demand!$A$2:$A$18,demand!$E$2:$E$18)*$B3</f>
        <v>1.3</v>
      </c>
      <c r="M3" s="16">
        <f>_xlfn.XLOOKUP(M$1,demand!$A$2:$A$18,demand!$E$2:$E$18)*$B3</f>
        <v>2.4</v>
      </c>
      <c r="N3" s="16">
        <f>_xlfn.XLOOKUP(N$1,demand!$A$2:$A$18,demand!$E$2:$E$18)*$B3</f>
        <v>2.2000000000000002</v>
      </c>
      <c r="O3" s="16">
        <f>_xlfn.XLOOKUP(O$1,demand!$A$2:$A$18,demand!$E$2:$E$18)*$B3</f>
        <v>3</v>
      </c>
      <c r="P3" s="16">
        <f>_xlfn.XLOOKUP(P$1,demand!$A$2:$A$18,demand!$E$2:$E$18)*$B3</f>
        <v>3.1</v>
      </c>
      <c r="Q3" s="16">
        <f>_xlfn.XLOOKUP(Q$1,demand!$A$2:$A$18,demand!$E$2:$E$18)*$B3</f>
        <v>3.4000000000000004</v>
      </c>
      <c r="R3" s="16">
        <f>_xlfn.XLOOKUP(R$1,demand!$A$2:$A$18,demand!$E$2:$E$18)*$B3</f>
        <v>13.4</v>
      </c>
      <c r="S3" s="16">
        <f>_xlfn.XLOOKUP(S$1,demand!$A$2:$A$18,demand!$E$2:$E$18)*$B3</f>
        <v>9.8000000000000007</v>
      </c>
      <c r="T3" s="16">
        <f>_xlfn.XLOOKUP(T$1,demand!$A$2:$A$18,demand!$E$2:$E$18)*$B3</f>
        <v>16</v>
      </c>
      <c r="U3" s="16">
        <f>_xlfn.XLOOKUP(U$1,demand!$A$2:$A$18,demand!$E$2:$E$18)*$B3</f>
        <v>5</v>
      </c>
      <c r="V3" s="16">
        <f>_xlfn.XLOOKUP(V$1,demand!$A$2:$A$18,demand!$E$2:$E$18)*$B3</f>
        <v>16.8</v>
      </c>
      <c r="W3" s="16">
        <f>_xlfn.XLOOKUP(W$1,demand!$A$2:$A$18,demand!$E$2:$E$18)*$B3</f>
        <v>9</v>
      </c>
      <c r="X3" s="16">
        <f>_xlfn.XLOOKUP(X$1,demand!$A$2:$A$18,demand!$E$2:$E$18)*$B3</f>
        <v>6.5</v>
      </c>
    </row>
    <row r="4" spans="1:24" x14ac:dyDescent="0.25">
      <c r="A4" s="4" t="s">
        <v>160</v>
      </c>
      <c r="B4" s="4">
        <v>200</v>
      </c>
      <c r="C4" s="16">
        <f>_xlfn.XLOOKUP(C$1,demand!$A$2:$A$18,demand!$E$2:$E$18)*$B4</f>
        <v>3.8</v>
      </c>
      <c r="D4" s="16">
        <f>_xlfn.XLOOKUP(D$1,demand!$A$2:$A$18,demand!$E$2:$E$18)*$B4</f>
        <v>3.4000000000000004</v>
      </c>
      <c r="E4" s="16">
        <f>_xlfn.XLOOKUP(E$1,demand!$A$2:$A$18,demand!$E$2:$E$18)*$B4</f>
        <v>6.4</v>
      </c>
      <c r="F4" s="16">
        <f>_xlfn.XLOOKUP(F$1,demand!$A$2:$A$18,demand!$E$2:$E$18)*$B4</f>
        <v>2.6</v>
      </c>
      <c r="G4" s="16">
        <f>_xlfn.XLOOKUP(G$1,demand!$A$2:$A$18,demand!$E$2:$E$18)*$B4</f>
        <v>2.6</v>
      </c>
      <c r="H4" s="16">
        <f>_xlfn.XLOOKUP(H$1,demand!$A$2:$A$18,demand!$E$2:$E$18)*$B4</f>
        <v>3.8</v>
      </c>
      <c r="I4" s="16">
        <f>_xlfn.XLOOKUP(I$1,demand!$A$2:$A$18,demand!$E$2:$E$18)*$B4</f>
        <v>3.4000000000000004</v>
      </c>
      <c r="J4" s="16">
        <f>_xlfn.XLOOKUP(J$1,demand!$A$2:$A$18,demand!$E$2:$E$18)*$B4</f>
        <v>6.4</v>
      </c>
      <c r="K4" s="16">
        <f>_xlfn.XLOOKUP(K$1,demand!$A$2:$A$18,demand!$E$2:$E$18)*$B4</f>
        <v>2.6</v>
      </c>
      <c r="L4" s="16">
        <f>_xlfn.XLOOKUP(L$1,demand!$A$2:$A$18,demand!$E$2:$E$18)*$B4</f>
        <v>2.6</v>
      </c>
      <c r="M4" s="16">
        <f>_xlfn.XLOOKUP(M$1,demand!$A$2:$A$18,demand!$E$2:$E$18)*$B4</f>
        <v>4.8</v>
      </c>
      <c r="N4" s="16">
        <f>_xlfn.XLOOKUP(N$1,demand!$A$2:$A$18,demand!$E$2:$E$18)*$B4</f>
        <v>4.4000000000000004</v>
      </c>
      <c r="O4" s="16">
        <f>_xlfn.XLOOKUP(O$1,demand!$A$2:$A$18,demand!$E$2:$E$18)*$B4</f>
        <v>6</v>
      </c>
      <c r="P4" s="16">
        <f>_xlfn.XLOOKUP(P$1,demand!$A$2:$A$18,demand!$E$2:$E$18)*$B4</f>
        <v>6.2</v>
      </c>
      <c r="Q4" s="16">
        <f>_xlfn.XLOOKUP(Q$1,demand!$A$2:$A$18,demand!$E$2:$E$18)*$B4</f>
        <v>6.8000000000000007</v>
      </c>
      <c r="R4" s="16">
        <f>_xlfn.XLOOKUP(R$1,demand!$A$2:$A$18,demand!$E$2:$E$18)*$B4</f>
        <v>26.8</v>
      </c>
      <c r="S4" s="16">
        <f>_xlfn.XLOOKUP(S$1,demand!$A$2:$A$18,demand!$E$2:$E$18)*$B4</f>
        <v>19.600000000000001</v>
      </c>
      <c r="T4" s="16">
        <f>_xlfn.XLOOKUP(T$1,demand!$A$2:$A$18,demand!$E$2:$E$18)*$B4</f>
        <v>32</v>
      </c>
      <c r="U4" s="16">
        <f>_xlfn.XLOOKUP(U$1,demand!$A$2:$A$18,demand!$E$2:$E$18)*$B4</f>
        <v>10</v>
      </c>
      <c r="V4" s="16">
        <f>_xlfn.XLOOKUP(V$1,demand!$A$2:$A$18,demand!$E$2:$E$18)*$B4</f>
        <v>33.6</v>
      </c>
      <c r="W4" s="16">
        <f>_xlfn.XLOOKUP(W$1,demand!$A$2:$A$18,demand!$E$2:$E$18)*$B4</f>
        <v>18</v>
      </c>
      <c r="X4" s="16">
        <f>_xlfn.XLOOKUP(X$1,demand!$A$2:$A$18,demand!$E$2:$E$18)*$B4</f>
        <v>13</v>
      </c>
    </row>
    <row r="5" spans="1:24" x14ac:dyDescent="0.25">
      <c r="A5" s="4" t="s">
        <v>161</v>
      </c>
      <c r="B5" s="4">
        <v>300</v>
      </c>
      <c r="C5" s="16">
        <f>_xlfn.XLOOKUP(C$1,demand!$A$2:$A$18,demand!$E$2:$E$18)*$B5</f>
        <v>5.7</v>
      </c>
      <c r="D5" s="16">
        <f>_xlfn.XLOOKUP(D$1,demand!$A$2:$A$18,demand!$E$2:$E$18)*$B5</f>
        <v>5.1000000000000005</v>
      </c>
      <c r="E5" s="16">
        <f>_xlfn.XLOOKUP(E$1,demand!$A$2:$A$18,demand!$E$2:$E$18)*$B5</f>
        <v>9.6</v>
      </c>
      <c r="F5" s="16">
        <f>_xlfn.XLOOKUP(F$1,demand!$A$2:$A$18,demand!$E$2:$E$18)*$B5</f>
        <v>3.9000000000000004</v>
      </c>
      <c r="G5" s="16">
        <f>_xlfn.XLOOKUP(G$1,demand!$A$2:$A$18,demand!$E$2:$E$18)*$B5</f>
        <v>3.9000000000000004</v>
      </c>
      <c r="H5" s="16">
        <f>_xlfn.XLOOKUP(H$1,demand!$A$2:$A$18,demand!$E$2:$E$18)*$B5</f>
        <v>5.7</v>
      </c>
      <c r="I5" s="16">
        <f>_xlfn.XLOOKUP(I$1,demand!$A$2:$A$18,demand!$E$2:$E$18)*$B5</f>
        <v>5.1000000000000005</v>
      </c>
      <c r="J5" s="16">
        <f>_xlfn.XLOOKUP(J$1,demand!$A$2:$A$18,demand!$E$2:$E$18)*$B5</f>
        <v>9.6</v>
      </c>
      <c r="K5" s="16">
        <f>_xlfn.XLOOKUP(K$1,demand!$A$2:$A$18,demand!$E$2:$E$18)*$B5</f>
        <v>3.9000000000000004</v>
      </c>
      <c r="L5" s="16">
        <f>_xlfn.XLOOKUP(L$1,demand!$A$2:$A$18,demand!$E$2:$E$18)*$B5</f>
        <v>3.9000000000000004</v>
      </c>
      <c r="M5" s="16">
        <f>_xlfn.XLOOKUP(M$1,demand!$A$2:$A$18,demand!$E$2:$E$18)*$B5</f>
        <v>7.2</v>
      </c>
      <c r="N5" s="16">
        <f>_xlfn.XLOOKUP(N$1,demand!$A$2:$A$18,demand!$E$2:$E$18)*$B5</f>
        <v>6.6000000000000005</v>
      </c>
      <c r="O5" s="16">
        <f>_xlfn.XLOOKUP(O$1,demand!$A$2:$A$18,demand!$E$2:$E$18)*$B5</f>
        <v>9</v>
      </c>
      <c r="P5" s="16">
        <f>_xlfn.XLOOKUP(P$1,demand!$A$2:$A$18,demand!$E$2:$E$18)*$B5</f>
        <v>9.3000000000000007</v>
      </c>
      <c r="Q5" s="16">
        <f>_xlfn.XLOOKUP(Q$1,demand!$A$2:$A$18,demand!$E$2:$E$18)*$B5</f>
        <v>10.200000000000001</v>
      </c>
      <c r="R5" s="16">
        <f>_xlfn.XLOOKUP(R$1,demand!$A$2:$A$18,demand!$E$2:$E$18)*$B5</f>
        <v>40.200000000000003</v>
      </c>
      <c r="S5" s="16">
        <f>_xlfn.XLOOKUP(S$1,demand!$A$2:$A$18,demand!$E$2:$E$18)*$B5</f>
        <v>29.400000000000002</v>
      </c>
      <c r="T5" s="16">
        <f>_xlfn.XLOOKUP(T$1,demand!$A$2:$A$18,demand!$E$2:$E$18)*$B5</f>
        <v>48</v>
      </c>
      <c r="U5" s="16">
        <f>_xlfn.XLOOKUP(U$1,demand!$A$2:$A$18,demand!$E$2:$E$18)*$B5</f>
        <v>15</v>
      </c>
      <c r="V5" s="16">
        <f>_xlfn.XLOOKUP(V$1,demand!$A$2:$A$18,demand!$E$2:$E$18)*$B5</f>
        <v>50.400000000000006</v>
      </c>
      <c r="W5" s="16">
        <f>_xlfn.XLOOKUP(W$1,demand!$A$2:$A$18,demand!$E$2:$E$18)*$B5</f>
        <v>27</v>
      </c>
      <c r="X5" s="16">
        <f>_xlfn.XLOOKUP(X$1,demand!$A$2:$A$18,demand!$E$2:$E$18)*$B5</f>
        <v>19.5</v>
      </c>
    </row>
    <row r="6" spans="1:24" x14ac:dyDescent="0.25">
      <c r="A6" s="4" t="s">
        <v>162</v>
      </c>
      <c r="B6" s="4">
        <v>400</v>
      </c>
      <c r="C6" s="16">
        <f>_xlfn.XLOOKUP(C$1,demand!$A$2:$A$18,demand!$E$2:$E$18)*$B6</f>
        <v>7.6</v>
      </c>
      <c r="D6" s="16">
        <f>_xlfn.XLOOKUP(D$1,demand!$A$2:$A$18,demand!$E$2:$E$18)*$B6</f>
        <v>6.8000000000000007</v>
      </c>
      <c r="E6" s="16">
        <f>_xlfn.XLOOKUP(E$1,demand!$A$2:$A$18,demand!$E$2:$E$18)*$B6</f>
        <v>12.8</v>
      </c>
      <c r="F6" s="16">
        <f>_xlfn.XLOOKUP(F$1,demand!$A$2:$A$18,demand!$E$2:$E$18)*$B6</f>
        <v>5.2</v>
      </c>
      <c r="G6" s="16">
        <f>_xlfn.XLOOKUP(G$1,demand!$A$2:$A$18,demand!$E$2:$E$18)*$B6</f>
        <v>5.2</v>
      </c>
      <c r="H6" s="16">
        <f>_xlfn.XLOOKUP(H$1,demand!$A$2:$A$18,demand!$E$2:$E$18)*$B6</f>
        <v>7.6</v>
      </c>
      <c r="I6" s="16">
        <f>_xlfn.XLOOKUP(I$1,demand!$A$2:$A$18,demand!$E$2:$E$18)*$B6</f>
        <v>6.8000000000000007</v>
      </c>
      <c r="J6" s="16">
        <f>_xlfn.XLOOKUP(J$1,demand!$A$2:$A$18,demand!$E$2:$E$18)*$B6</f>
        <v>12.8</v>
      </c>
      <c r="K6" s="16">
        <f>_xlfn.XLOOKUP(K$1,demand!$A$2:$A$18,demand!$E$2:$E$18)*$B6</f>
        <v>5.2</v>
      </c>
      <c r="L6" s="16">
        <f>_xlfn.XLOOKUP(L$1,demand!$A$2:$A$18,demand!$E$2:$E$18)*$B6</f>
        <v>5.2</v>
      </c>
      <c r="M6" s="16">
        <f>_xlfn.XLOOKUP(M$1,demand!$A$2:$A$18,demand!$E$2:$E$18)*$B6</f>
        <v>9.6</v>
      </c>
      <c r="N6" s="16">
        <f>_xlfn.XLOOKUP(N$1,demand!$A$2:$A$18,demand!$E$2:$E$18)*$B6</f>
        <v>8.8000000000000007</v>
      </c>
      <c r="O6" s="16">
        <f>_xlfn.XLOOKUP(O$1,demand!$A$2:$A$18,demand!$E$2:$E$18)*$B6</f>
        <v>12</v>
      </c>
      <c r="P6" s="16">
        <f>_xlfn.XLOOKUP(P$1,demand!$A$2:$A$18,demand!$E$2:$E$18)*$B6</f>
        <v>12.4</v>
      </c>
      <c r="Q6" s="16">
        <f>_xlfn.XLOOKUP(Q$1,demand!$A$2:$A$18,demand!$E$2:$E$18)*$B6</f>
        <v>13.600000000000001</v>
      </c>
      <c r="R6" s="16">
        <f>_xlfn.XLOOKUP(R$1,demand!$A$2:$A$18,demand!$E$2:$E$18)*$B6</f>
        <v>53.6</v>
      </c>
      <c r="S6" s="16">
        <f>_xlfn.XLOOKUP(S$1,demand!$A$2:$A$18,demand!$E$2:$E$18)*$B6</f>
        <v>39.200000000000003</v>
      </c>
      <c r="T6" s="16">
        <f>_xlfn.XLOOKUP(T$1,demand!$A$2:$A$18,demand!$E$2:$E$18)*$B6</f>
        <v>64</v>
      </c>
      <c r="U6" s="16">
        <f>_xlfn.XLOOKUP(U$1,demand!$A$2:$A$18,demand!$E$2:$E$18)*$B6</f>
        <v>20</v>
      </c>
      <c r="V6" s="16">
        <f>_xlfn.XLOOKUP(V$1,demand!$A$2:$A$18,demand!$E$2:$E$18)*$B6</f>
        <v>67.2</v>
      </c>
      <c r="W6" s="16">
        <f>_xlfn.XLOOKUP(W$1,demand!$A$2:$A$18,demand!$E$2:$E$18)*$B6</f>
        <v>36</v>
      </c>
      <c r="X6" s="16">
        <f>_xlfn.XLOOKUP(X$1,demand!$A$2:$A$18,demand!$E$2:$E$18)*$B6</f>
        <v>26</v>
      </c>
    </row>
    <row r="7" spans="1:24" x14ac:dyDescent="0.25">
      <c r="A7" s="4" t="s">
        <v>163</v>
      </c>
      <c r="B7" s="4">
        <v>500</v>
      </c>
      <c r="C7" s="16">
        <f>_xlfn.XLOOKUP(C$1,demand!$A$2:$A$18,demand!$E$2:$E$18)*$B7</f>
        <v>9.5</v>
      </c>
      <c r="D7" s="16">
        <f>_xlfn.XLOOKUP(D$1,demand!$A$2:$A$18,demand!$E$2:$E$18)*$B7</f>
        <v>8.5</v>
      </c>
      <c r="E7" s="16">
        <f>_xlfn.XLOOKUP(E$1,demand!$A$2:$A$18,demand!$E$2:$E$18)*$B7</f>
        <v>16</v>
      </c>
      <c r="F7" s="16">
        <f>_xlfn.XLOOKUP(F$1,demand!$A$2:$A$18,demand!$E$2:$E$18)*$B7</f>
        <v>6.5000000000000009</v>
      </c>
      <c r="G7" s="16">
        <f>_xlfn.XLOOKUP(G$1,demand!$A$2:$A$18,demand!$E$2:$E$18)*$B7</f>
        <v>6.5000000000000009</v>
      </c>
      <c r="H7" s="16">
        <f>_xlfn.XLOOKUP(H$1,demand!$A$2:$A$18,demand!$E$2:$E$18)*$B7</f>
        <v>9.5</v>
      </c>
      <c r="I7" s="16">
        <f>_xlfn.XLOOKUP(I$1,demand!$A$2:$A$18,demand!$E$2:$E$18)*$B7</f>
        <v>8.5</v>
      </c>
      <c r="J7" s="16">
        <f>_xlfn.XLOOKUP(J$1,demand!$A$2:$A$18,demand!$E$2:$E$18)*$B7</f>
        <v>16</v>
      </c>
      <c r="K7" s="16">
        <f>_xlfn.XLOOKUP(K$1,demand!$A$2:$A$18,demand!$E$2:$E$18)*$B7</f>
        <v>6.5000000000000009</v>
      </c>
      <c r="L7" s="16">
        <f>_xlfn.XLOOKUP(L$1,demand!$A$2:$A$18,demand!$E$2:$E$18)*$B7</f>
        <v>6.5000000000000009</v>
      </c>
      <c r="M7" s="16">
        <f>_xlfn.XLOOKUP(M$1,demand!$A$2:$A$18,demand!$E$2:$E$18)*$B7</f>
        <v>12</v>
      </c>
      <c r="N7" s="16">
        <f>_xlfn.XLOOKUP(N$1,demand!$A$2:$A$18,demand!$E$2:$E$18)*$B7</f>
        <v>11.000000000000002</v>
      </c>
      <c r="O7" s="16">
        <f>_xlfn.XLOOKUP(O$1,demand!$A$2:$A$18,demand!$E$2:$E$18)*$B7</f>
        <v>15</v>
      </c>
      <c r="P7" s="16">
        <f>_xlfn.XLOOKUP(P$1,demand!$A$2:$A$18,demand!$E$2:$E$18)*$B7</f>
        <v>15.5</v>
      </c>
      <c r="Q7" s="16">
        <f>_xlfn.XLOOKUP(Q$1,demand!$A$2:$A$18,demand!$E$2:$E$18)*$B7</f>
        <v>17</v>
      </c>
      <c r="R7" s="16">
        <f>_xlfn.XLOOKUP(R$1,demand!$A$2:$A$18,demand!$E$2:$E$18)*$B7</f>
        <v>67</v>
      </c>
      <c r="S7" s="16">
        <f>_xlfn.XLOOKUP(S$1,demand!$A$2:$A$18,demand!$E$2:$E$18)*$B7</f>
        <v>49</v>
      </c>
      <c r="T7" s="16">
        <f>_xlfn.XLOOKUP(T$1,demand!$A$2:$A$18,demand!$E$2:$E$18)*$B7</f>
        <v>80</v>
      </c>
      <c r="U7" s="16">
        <f>_xlfn.XLOOKUP(U$1,demand!$A$2:$A$18,demand!$E$2:$E$18)*$B7</f>
        <v>25</v>
      </c>
      <c r="V7" s="16">
        <f>_xlfn.XLOOKUP(V$1,demand!$A$2:$A$18,demand!$E$2:$E$18)*$B7</f>
        <v>84</v>
      </c>
      <c r="W7" s="16">
        <f>_xlfn.XLOOKUP(W$1,demand!$A$2:$A$18,demand!$E$2:$E$18)*$B7</f>
        <v>45</v>
      </c>
      <c r="X7" s="16">
        <f>_xlfn.XLOOKUP(X$1,demand!$A$2:$A$18,demand!$E$2:$E$18)*$B7</f>
        <v>32.5</v>
      </c>
    </row>
    <row r="8" spans="1:24" x14ac:dyDescent="0.25">
      <c r="A8" s="4" t="s">
        <v>164</v>
      </c>
      <c r="B8" s="4">
        <v>600</v>
      </c>
      <c r="C8" s="16">
        <f>_xlfn.XLOOKUP(C$1,demand!$A$2:$A$18,demand!$E$2:$E$18)*$B8</f>
        <v>11.4</v>
      </c>
      <c r="D8" s="16">
        <f>_xlfn.XLOOKUP(D$1,demand!$A$2:$A$18,demand!$E$2:$E$18)*$B8</f>
        <v>10.200000000000001</v>
      </c>
      <c r="E8" s="16">
        <f>_xlfn.XLOOKUP(E$1,demand!$A$2:$A$18,demand!$E$2:$E$18)*$B8</f>
        <v>19.2</v>
      </c>
      <c r="F8" s="16">
        <f>_xlfn.XLOOKUP(F$1,demand!$A$2:$A$18,demand!$E$2:$E$18)*$B8</f>
        <v>7.8000000000000007</v>
      </c>
      <c r="G8" s="16">
        <f>_xlfn.XLOOKUP(G$1,demand!$A$2:$A$18,demand!$E$2:$E$18)*$B8</f>
        <v>7.8000000000000007</v>
      </c>
      <c r="H8" s="16">
        <f>_xlfn.XLOOKUP(H$1,demand!$A$2:$A$18,demand!$E$2:$E$18)*$B8</f>
        <v>11.4</v>
      </c>
      <c r="I8" s="16">
        <f>_xlfn.XLOOKUP(I$1,demand!$A$2:$A$18,demand!$E$2:$E$18)*$B8</f>
        <v>10.200000000000001</v>
      </c>
      <c r="J8" s="16">
        <f>_xlfn.XLOOKUP(J$1,demand!$A$2:$A$18,demand!$E$2:$E$18)*$B8</f>
        <v>19.2</v>
      </c>
      <c r="K8" s="16">
        <f>_xlfn.XLOOKUP(K$1,demand!$A$2:$A$18,demand!$E$2:$E$18)*$B8</f>
        <v>7.8000000000000007</v>
      </c>
      <c r="L8" s="16">
        <f>_xlfn.XLOOKUP(L$1,demand!$A$2:$A$18,demand!$E$2:$E$18)*$B8</f>
        <v>7.8000000000000007</v>
      </c>
      <c r="M8" s="16">
        <f>_xlfn.XLOOKUP(M$1,demand!$A$2:$A$18,demand!$E$2:$E$18)*$B8</f>
        <v>14.4</v>
      </c>
      <c r="N8" s="16">
        <f>_xlfn.XLOOKUP(N$1,demand!$A$2:$A$18,demand!$E$2:$E$18)*$B8</f>
        <v>13.200000000000001</v>
      </c>
      <c r="O8" s="16">
        <f>_xlfn.XLOOKUP(O$1,demand!$A$2:$A$18,demand!$E$2:$E$18)*$B8</f>
        <v>18</v>
      </c>
      <c r="P8" s="16">
        <f>_xlfn.XLOOKUP(P$1,demand!$A$2:$A$18,demand!$E$2:$E$18)*$B8</f>
        <v>18.600000000000001</v>
      </c>
      <c r="Q8" s="16">
        <f>_xlfn.XLOOKUP(Q$1,demand!$A$2:$A$18,demand!$E$2:$E$18)*$B8</f>
        <v>20.400000000000002</v>
      </c>
      <c r="R8" s="16">
        <f>_xlfn.XLOOKUP(R$1,demand!$A$2:$A$18,demand!$E$2:$E$18)*$B8</f>
        <v>80.400000000000006</v>
      </c>
      <c r="S8" s="16">
        <f>_xlfn.XLOOKUP(S$1,demand!$A$2:$A$18,demand!$E$2:$E$18)*$B8</f>
        <v>58.800000000000004</v>
      </c>
      <c r="T8" s="16">
        <f>_xlfn.XLOOKUP(T$1,demand!$A$2:$A$18,demand!$E$2:$E$18)*$B8</f>
        <v>96</v>
      </c>
      <c r="U8" s="16">
        <f>_xlfn.XLOOKUP(U$1,demand!$A$2:$A$18,demand!$E$2:$E$18)*$B8</f>
        <v>30</v>
      </c>
      <c r="V8" s="16">
        <f>_xlfn.XLOOKUP(V$1,demand!$A$2:$A$18,demand!$E$2:$E$18)*$B8</f>
        <v>100.80000000000001</v>
      </c>
      <c r="W8" s="16">
        <f>_xlfn.XLOOKUP(W$1,demand!$A$2:$A$18,demand!$E$2:$E$18)*$B8</f>
        <v>54</v>
      </c>
      <c r="X8" s="16">
        <f>_xlfn.XLOOKUP(X$1,demand!$A$2:$A$18,demand!$E$2:$E$18)*$B8</f>
        <v>39</v>
      </c>
    </row>
    <row r="9" spans="1:24" x14ac:dyDescent="0.25">
      <c r="A9" s="4" t="s">
        <v>165</v>
      </c>
      <c r="B9" s="4">
        <v>700</v>
      </c>
      <c r="C9" s="16">
        <f>_xlfn.XLOOKUP(C$1,demand!$A$2:$A$18,demand!$E$2:$E$18)*$B9</f>
        <v>13.299999999999999</v>
      </c>
      <c r="D9" s="16">
        <f>_xlfn.XLOOKUP(D$1,demand!$A$2:$A$18,demand!$E$2:$E$18)*$B9</f>
        <v>11.9</v>
      </c>
      <c r="E9" s="16">
        <f>_xlfn.XLOOKUP(E$1,demand!$A$2:$A$18,demand!$E$2:$E$18)*$B9</f>
        <v>22.400000000000002</v>
      </c>
      <c r="F9" s="16">
        <f>_xlfn.XLOOKUP(F$1,demand!$A$2:$A$18,demand!$E$2:$E$18)*$B9</f>
        <v>9.1000000000000014</v>
      </c>
      <c r="G9" s="16">
        <f>_xlfn.XLOOKUP(G$1,demand!$A$2:$A$18,demand!$E$2:$E$18)*$B9</f>
        <v>9.1000000000000014</v>
      </c>
      <c r="H9" s="16">
        <f>_xlfn.XLOOKUP(H$1,demand!$A$2:$A$18,demand!$E$2:$E$18)*$B9</f>
        <v>13.299999999999999</v>
      </c>
      <c r="I9" s="16">
        <f>_xlfn.XLOOKUP(I$1,demand!$A$2:$A$18,demand!$E$2:$E$18)*$B9</f>
        <v>11.9</v>
      </c>
      <c r="J9" s="16">
        <f>_xlfn.XLOOKUP(J$1,demand!$A$2:$A$18,demand!$E$2:$E$18)*$B9</f>
        <v>22.400000000000002</v>
      </c>
      <c r="K9" s="16">
        <f>_xlfn.XLOOKUP(K$1,demand!$A$2:$A$18,demand!$E$2:$E$18)*$B9</f>
        <v>9.1000000000000014</v>
      </c>
      <c r="L9" s="16">
        <f>_xlfn.XLOOKUP(L$1,demand!$A$2:$A$18,demand!$E$2:$E$18)*$B9</f>
        <v>9.1000000000000014</v>
      </c>
      <c r="M9" s="16">
        <f>_xlfn.XLOOKUP(M$1,demand!$A$2:$A$18,demand!$E$2:$E$18)*$B9</f>
        <v>16.8</v>
      </c>
      <c r="N9" s="16">
        <f>_xlfn.XLOOKUP(N$1,demand!$A$2:$A$18,demand!$E$2:$E$18)*$B9</f>
        <v>15.400000000000002</v>
      </c>
      <c r="O9" s="16">
        <f>_xlfn.XLOOKUP(O$1,demand!$A$2:$A$18,demand!$E$2:$E$18)*$B9</f>
        <v>21</v>
      </c>
      <c r="P9" s="16">
        <f>_xlfn.XLOOKUP(P$1,demand!$A$2:$A$18,demand!$E$2:$E$18)*$B9</f>
        <v>21.7</v>
      </c>
      <c r="Q9" s="16">
        <f>_xlfn.XLOOKUP(Q$1,demand!$A$2:$A$18,demand!$E$2:$E$18)*$B9</f>
        <v>23.8</v>
      </c>
      <c r="R9" s="16">
        <f>_xlfn.XLOOKUP(R$1,demand!$A$2:$A$18,demand!$E$2:$E$18)*$B9</f>
        <v>93.800000000000011</v>
      </c>
      <c r="S9" s="16">
        <f>_xlfn.XLOOKUP(S$1,demand!$A$2:$A$18,demand!$E$2:$E$18)*$B9</f>
        <v>68.600000000000009</v>
      </c>
      <c r="T9" s="16">
        <f>_xlfn.XLOOKUP(T$1,demand!$A$2:$A$18,demand!$E$2:$E$18)*$B9</f>
        <v>112</v>
      </c>
      <c r="U9" s="16">
        <f>_xlfn.XLOOKUP(U$1,demand!$A$2:$A$18,demand!$E$2:$E$18)*$B9</f>
        <v>35</v>
      </c>
      <c r="V9" s="16">
        <f>_xlfn.XLOOKUP(V$1,demand!$A$2:$A$18,demand!$E$2:$E$18)*$B9</f>
        <v>117.60000000000001</v>
      </c>
      <c r="W9" s="16">
        <f>_xlfn.XLOOKUP(W$1,demand!$A$2:$A$18,demand!$E$2:$E$18)*$B9</f>
        <v>63</v>
      </c>
      <c r="X9" s="16">
        <f>_xlfn.XLOOKUP(X$1,demand!$A$2:$A$18,demand!$E$2:$E$18)*$B9</f>
        <v>45.5</v>
      </c>
    </row>
    <row r="10" spans="1:24" x14ac:dyDescent="0.25">
      <c r="A10" s="4" t="s">
        <v>166</v>
      </c>
      <c r="B10" s="4">
        <v>800</v>
      </c>
      <c r="C10" s="16">
        <f>_xlfn.XLOOKUP(C$1,demand!$A$2:$A$18,demand!$E$2:$E$18)*$B10</f>
        <v>15.2</v>
      </c>
      <c r="D10" s="16">
        <f>_xlfn.XLOOKUP(D$1,demand!$A$2:$A$18,demand!$E$2:$E$18)*$B10</f>
        <v>13.600000000000001</v>
      </c>
      <c r="E10" s="16">
        <f>_xlfn.XLOOKUP(E$1,demand!$A$2:$A$18,demand!$E$2:$E$18)*$B10</f>
        <v>25.6</v>
      </c>
      <c r="F10" s="16">
        <f>_xlfn.XLOOKUP(F$1,demand!$A$2:$A$18,demand!$E$2:$E$18)*$B10</f>
        <v>10.4</v>
      </c>
      <c r="G10" s="16">
        <f>_xlfn.XLOOKUP(G$1,demand!$A$2:$A$18,demand!$E$2:$E$18)*$B10</f>
        <v>10.4</v>
      </c>
      <c r="H10" s="16">
        <f>_xlfn.XLOOKUP(H$1,demand!$A$2:$A$18,demand!$E$2:$E$18)*$B10</f>
        <v>15.2</v>
      </c>
      <c r="I10" s="16">
        <f>_xlfn.XLOOKUP(I$1,demand!$A$2:$A$18,demand!$E$2:$E$18)*$B10</f>
        <v>13.600000000000001</v>
      </c>
      <c r="J10" s="16">
        <f>_xlfn.XLOOKUP(J$1,demand!$A$2:$A$18,demand!$E$2:$E$18)*$B10</f>
        <v>25.6</v>
      </c>
      <c r="K10" s="16">
        <f>_xlfn.XLOOKUP(K$1,demand!$A$2:$A$18,demand!$E$2:$E$18)*$B10</f>
        <v>10.4</v>
      </c>
      <c r="L10" s="16">
        <f>_xlfn.XLOOKUP(L$1,demand!$A$2:$A$18,demand!$E$2:$E$18)*$B10</f>
        <v>10.4</v>
      </c>
      <c r="M10" s="16">
        <f>_xlfn.XLOOKUP(M$1,demand!$A$2:$A$18,demand!$E$2:$E$18)*$B10</f>
        <v>19.2</v>
      </c>
      <c r="N10" s="16">
        <f>_xlfn.XLOOKUP(N$1,demand!$A$2:$A$18,demand!$E$2:$E$18)*$B10</f>
        <v>17.600000000000001</v>
      </c>
      <c r="O10" s="16">
        <f>_xlfn.XLOOKUP(O$1,demand!$A$2:$A$18,demand!$E$2:$E$18)*$B10</f>
        <v>24</v>
      </c>
      <c r="P10" s="16">
        <f>_xlfn.XLOOKUP(P$1,demand!$A$2:$A$18,demand!$E$2:$E$18)*$B10</f>
        <v>24.8</v>
      </c>
      <c r="Q10" s="16">
        <f>_xlfn.XLOOKUP(Q$1,demand!$A$2:$A$18,demand!$E$2:$E$18)*$B10</f>
        <v>27.200000000000003</v>
      </c>
      <c r="R10" s="16">
        <f>_xlfn.XLOOKUP(R$1,demand!$A$2:$A$18,demand!$E$2:$E$18)*$B10</f>
        <v>107.2</v>
      </c>
      <c r="S10" s="16">
        <f>_xlfn.XLOOKUP(S$1,demand!$A$2:$A$18,demand!$E$2:$E$18)*$B10</f>
        <v>78.400000000000006</v>
      </c>
      <c r="T10" s="16">
        <f>_xlfn.XLOOKUP(T$1,demand!$A$2:$A$18,demand!$E$2:$E$18)*$B10</f>
        <v>128</v>
      </c>
      <c r="U10" s="16">
        <f>_xlfn.XLOOKUP(U$1,demand!$A$2:$A$18,demand!$E$2:$E$18)*$B10</f>
        <v>40</v>
      </c>
      <c r="V10" s="16">
        <f>_xlfn.XLOOKUP(V$1,demand!$A$2:$A$18,demand!$E$2:$E$18)*$B10</f>
        <v>134.4</v>
      </c>
      <c r="W10" s="16">
        <f>_xlfn.XLOOKUP(W$1,demand!$A$2:$A$18,demand!$E$2:$E$18)*$B10</f>
        <v>72</v>
      </c>
      <c r="X10" s="16">
        <f>_xlfn.XLOOKUP(X$1,demand!$A$2:$A$18,demand!$E$2:$E$18)*$B10</f>
        <v>52</v>
      </c>
    </row>
    <row r="11" spans="1:24" x14ac:dyDescent="0.25">
      <c r="A11" s="4" t="s">
        <v>167</v>
      </c>
      <c r="B11" s="4">
        <v>900</v>
      </c>
      <c r="C11" s="16">
        <f>_xlfn.XLOOKUP(C$1,demand!$A$2:$A$18,demand!$E$2:$E$18)*$B11</f>
        <v>17.099999999999998</v>
      </c>
      <c r="D11" s="16">
        <f>_xlfn.XLOOKUP(D$1,demand!$A$2:$A$18,demand!$E$2:$E$18)*$B11</f>
        <v>15.3</v>
      </c>
      <c r="E11" s="16">
        <f>_xlfn.XLOOKUP(E$1,demand!$A$2:$A$18,demand!$E$2:$E$18)*$B11</f>
        <v>28.8</v>
      </c>
      <c r="F11" s="16">
        <f>_xlfn.XLOOKUP(F$1,demand!$A$2:$A$18,demand!$E$2:$E$18)*$B11</f>
        <v>11.700000000000001</v>
      </c>
      <c r="G11" s="16">
        <f>_xlfn.XLOOKUP(G$1,demand!$A$2:$A$18,demand!$E$2:$E$18)*$B11</f>
        <v>11.700000000000001</v>
      </c>
      <c r="H11" s="16">
        <f>_xlfn.XLOOKUP(H$1,demand!$A$2:$A$18,demand!$E$2:$E$18)*$B11</f>
        <v>17.099999999999998</v>
      </c>
      <c r="I11" s="16">
        <f>_xlfn.XLOOKUP(I$1,demand!$A$2:$A$18,demand!$E$2:$E$18)*$B11</f>
        <v>15.3</v>
      </c>
      <c r="J11" s="16">
        <f>_xlfn.XLOOKUP(J$1,demand!$A$2:$A$18,demand!$E$2:$E$18)*$B11</f>
        <v>28.8</v>
      </c>
      <c r="K11" s="16">
        <f>_xlfn.XLOOKUP(K$1,demand!$A$2:$A$18,demand!$E$2:$E$18)*$B11</f>
        <v>11.700000000000001</v>
      </c>
      <c r="L11" s="16">
        <f>_xlfn.XLOOKUP(L$1,demand!$A$2:$A$18,demand!$E$2:$E$18)*$B11</f>
        <v>11.700000000000001</v>
      </c>
      <c r="M11" s="16">
        <f>_xlfn.XLOOKUP(M$1,demand!$A$2:$A$18,demand!$E$2:$E$18)*$B11</f>
        <v>21.6</v>
      </c>
      <c r="N11" s="16">
        <f>_xlfn.XLOOKUP(N$1,demand!$A$2:$A$18,demand!$E$2:$E$18)*$B11</f>
        <v>19.8</v>
      </c>
      <c r="O11" s="16">
        <f>_xlfn.XLOOKUP(O$1,demand!$A$2:$A$18,demand!$E$2:$E$18)*$B11</f>
        <v>27</v>
      </c>
      <c r="P11" s="16">
        <f>_xlfn.XLOOKUP(P$1,demand!$A$2:$A$18,demand!$E$2:$E$18)*$B11</f>
        <v>27.9</v>
      </c>
      <c r="Q11" s="16">
        <f>_xlfn.XLOOKUP(Q$1,demand!$A$2:$A$18,demand!$E$2:$E$18)*$B11</f>
        <v>30.6</v>
      </c>
      <c r="R11" s="16">
        <f>_xlfn.XLOOKUP(R$1,demand!$A$2:$A$18,demand!$E$2:$E$18)*$B11</f>
        <v>120.60000000000001</v>
      </c>
      <c r="S11" s="16">
        <f>_xlfn.XLOOKUP(S$1,demand!$A$2:$A$18,demand!$E$2:$E$18)*$B11</f>
        <v>88.2</v>
      </c>
      <c r="T11" s="16">
        <f>_xlfn.XLOOKUP(T$1,demand!$A$2:$A$18,demand!$E$2:$E$18)*$B11</f>
        <v>144</v>
      </c>
      <c r="U11" s="16">
        <f>_xlfn.XLOOKUP(U$1,demand!$A$2:$A$18,demand!$E$2:$E$18)*$B11</f>
        <v>45</v>
      </c>
      <c r="V11" s="16">
        <f>_xlfn.XLOOKUP(V$1,demand!$A$2:$A$18,demand!$E$2:$E$18)*$B11</f>
        <v>151.20000000000002</v>
      </c>
      <c r="W11" s="16">
        <f>_xlfn.XLOOKUP(W$1,demand!$A$2:$A$18,demand!$E$2:$E$18)*$B11</f>
        <v>81</v>
      </c>
      <c r="X11" s="16">
        <f>_xlfn.XLOOKUP(X$1,demand!$A$2:$A$18,demand!$E$2:$E$18)*$B11</f>
        <v>58.5</v>
      </c>
    </row>
    <row r="12" spans="1:24" x14ac:dyDescent="0.25">
      <c r="A12" s="4" t="s">
        <v>168</v>
      </c>
      <c r="B12" s="4">
        <v>1000</v>
      </c>
      <c r="C12" s="16">
        <f>_xlfn.XLOOKUP(C$1,demand!$A$2:$A$18,demand!$E$2:$E$18)*$B12</f>
        <v>19</v>
      </c>
      <c r="D12" s="16">
        <f>_xlfn.XLOOKUP(D$1,demand!$A$2:$A$18,demand!$E$2:$E$18)*$B12</f>
        <v>17</v>
      </c>
      <c r="E12" s="16">
        <f>_xlfn.XLOOKUP(E$1,demand!$A$2:$A$18,demand!$E$2:$E$18)*$B12</f>
        <v>32</v>
      </c>
      <c r="F12" s="16">
        <f>_xlfn.XLOOKUP(F$1,demand!$A$2:$A$18,demand!$E$2:$E$18)*$B12</f>
        <v>13.000000000000002</v>
      </c>
      <c r="G12" s="16">
        <f>_xlfn.XLOOKUP(G$1,demand!$A$2:$A$18,demand!$E$2:$E$18)*$B12</f>
        <v>13.000000000000002</v>
      </c>
      <c r="H12" s="16">
        <f>_xlfn.XLOOKUP(H$1,demand!$A$2:$A$18,demand!$E$2:$E$18)*$B12</f>
        <v>19</v>
      </c>
      <c r="I12" s="16">
        <f>_xlfn.XLOOKUP(I$1,demand!$A$2:$A$18,demand!$E$2:$E$18)*$B12</f>
        <v>17</v>
      </c>
      <c r="J12" s="16">
        <f>_xlfn.XLOOKUP(J$1,demand!$A$2:$A$18,demand!$E$2:$E$18)*$B12</f>
        <v>32</v>
      </c>
      <c r="K12" s="16">
        <f>_xlfn.XLOOKUP(K$1,demand!$A$2:$A$18,demand!$E$2:$E$18)*$B12</f>
        <v>13.000000000000002</v>
      </c>
      <c r="L12" s="16">
        <f>_xlfn.XLOOKUP(L$1,demand!$A$2:$A$18,demand!$E$2:$E$18)*$B12</f>
        <v>13.000000000000002</v>
      </c>
      <c r="M12" s="16">
        <f>_xlfn.XLOOKUP(M$1,demand!$A$2:$A$18,demand!$E$2:$E$18)*$B12</f>
        <v>24</v>
      </c>
      <c r="N12" s="16">
        <f>_xlfn.XLOOKUP(N$1,demand!$A$2:$A$18,demand!$E$2:$E$18)*$B12</f>
        <v>22.000000000000004</v>
      </c>
      <c r="O12" s="16">
        <f>_xlfn.XLOOKUP(O$1,demand!$A$2:$A$18,demand!$E$2:$E$18)*$B12</f>
        <v>30</v>
      </c>
      <c r="P12" s="16">
        <f>_xlfn.XLOOKUP(P$1,demand!$A$2:$A$18,demand!$E$2:$E$18)*$B12</f>
        <v>31</v>
      </c>
      <c r="Q12" s="16">
        <f>_xlfn.XLOOKUP(Q$1,demand!$A$2:$A$18,demand!$E$2:$E$18)*$B12</f>
        <v>34</v>
      </c>
      <c r="R12" s="16">
        <f>_xlfn.XLOOKUP(R$1,demand!$A$2:$A$18,demand!$E$2:$E$18)*$B12</f>
        <v>134</v>
      </c>
      <c r="S12" s="16">
        <f>_xlfn.XLOOKUP(S$1,demand!$A$2:$A$18,demand!$E$2:$E$18)*$B12</f>
        <v>98</v>
      </c>
      <c r="T12" s="16">
        <f>_xlfn.XLOOKUP(T$1,demand!$A$2:$A$18,demand!$E$2:$E$18)*$B12</f>
        <v>160</v>
      </c>
      <c r="U12" s="16">
        <f>_xlfn.XLOOKUP(U$1,demand!$A$2:$A$18,demand!$E$2:$E$18)*$B12</f>
        <v>50</v>
      </c>
      <c r="V12" s="16">
        <f>_xlfn.XLOOKUP(V$1,demand!$A$2:$A$18,demand!$E$2:$E$18)*$B12</f>
        <v>168</v>
      </c>
      <c r="W12" s="16">
        <f>_xlfn.XLOOKUP(W$1,demand!$A$2:$A$18,demand!$E$2:$E$18)*$B12</f>
        <v>90</v>
      </c>
      <c r="X12" s="16">
        <f>_xlfn.XLOOKUP(X$1,demand!$A$2:$A$18,demand!$E$2:$E$18)*$B12</f>
        <v>65</v>
      </c>
    </row>
    <row r="13" spans="1:24" x14ac:dyDescent="0.25">
      <c r="A13" s="4" t="s">
        <v>169</v>
      </c>
      <c r="B13" s="4">
        <v>1100</v>
      </c>
      <c r="C13" s="16">
        <f>_xlfn.XLOOKUP(C$1,demand!$A$2:$A$18,demand!$E$2:$E$18)*$B13</f>
        <v>20.9</v>
      </c>
      <c r="D13" s="16">
        <f>_xlfn.XLOOKUP(D$1,demand!$A$2:$A$18,demand!$E$2:$E$18)*$B13</f>
        <v>18.700000000000003</v>
      </c>
      <c r="E13" s="16">
        <f>_xlfn.XLOOKUP(E$1,demand!$A$2:$A$18,demand!$E$2:$E$18)*$B13</f>
        <v>35.200000000000003</v>
      </c>
      <c r="F13" s="16">
        <f>_xlfn.XLOOKUP(F$1,demand!$A$2:$A$18,demand!$E$2:$E$18)*$B13</f>
        <v>14.3</v>
      </c>
      <c r="G13" s="16">
        <f>_xlfn.XLOOKUP(G$1,demand!$A$2:$A$18,demand!$E$2:$E$18)*$B13</f>
        <v>14.3</v>
      </c>
      <c r="H13" s="16">
        <f>_xlfn.XLOOKUP(H$1,demand!$A$2:$A$18,demand!$E$2:$E$18)*$B13</f>
        <v>20.9</v>
      </c>
      <c r="I13" s="16">
        <f>_xlfn.XLOOKUP(I$1,demand!$A$2:$A$18,demand!$E$2:$E$18)*$B13</f>
        <v>18.700000000000003</v>
      </c>
      <c r="J13" s="16">
        <f>_xlfn.XLOOKUP(J$1,demand!$A$2:$A$18,demand!$E$2:$E$18)*$B13</f>
        <v>35.200000000000003</v>
      </c>
      <c r="K13" s="16">
        <f>_xlfn.XLOOKUP(K$1,demand!$A$2:$A$18,demand!$E$2:$E$18)*$B13</f>
        <v>14.3</v>
      </c>
      <c r="L13" s="16">
        <f>_xlfn.XLOOKUP(L$1,demand!$A$2:$A$18,demand!$E$2:$E$18)*$B13</f>
        <v>14.3</v>
      </c>
      <c r="M13" s="16">
        <f>_xlfn.XLOOKUP(M$1,demand!$A$2:$A$18,demand!$E$2:$E$18)*$B13</f>
        <v>26.400000000000002</v>
      </c>
      <c r="N13" s="16">
        <f>_xlfn.XLOOKUP(N$1,demand!$A$2:$A$18,demand!$E$2:$E$18)*$B13</f>
        <v>24.200000000000003</v>
      </c>
      <c r="O13" s="16">
        <f>_xlfn.XLOOKUP(O$1,demand!$A$2:$A$18,demand!$E$2:$E$18)*$B13</f>
        <v>33</v>
      </c>
      <c r="P13" s="16">
        <f>_xlfn.XLOOKUP(P$1,demand!$A$2:$A$18,demand!$E$2:$E$18)*$B13</f>
        <v>34.1</v>
      </c>
      <c r="Q13" s="16">
        <f>_xlfn.XLOOKUP(Q$1,demand!$A$2:$A$18,demand!$E$2:$E$18)*$B13</f>
        <v>37.400000000000006</v>
      </c>
      <c r="R13" s="16">
        <f>_xlfn.XLOOKUP(R$1,demand!$A$2:$A$18,demand!$E$2:$E$18)*$B13</f>
        <v>147.4</v>
      </c>
      <c r="S13" s="16">
        <f>_xlfn.XLOOKUP(S$1,demand!$A$2:$A$18,demand!$E$2:$E$18)*$B13</f>
        <v>107.8</v>
      </c>
      <c r="T13" s="16">
        <f>_xlfn.XLOOKUP(T$1,demand!$A$2:$A$18,demand!$E$2:$E$18)*$B13</f>
        <v>176</v>
      </c>
      <c r="U13" s="16">
        <f>_xlfn.XLOOKUP(U$1,demand!$A$2:$A$18,demand!$E$2:$E$18)*$B13</f>
        <v>55</v>
      </c>
      <c r="V13" s="16">
        <f>_xlfn.XLOOKUP(V$1,demand!$A$2:$A$18,demand!$E$2:$E$18)*$B13</f>
        <v>184.8</v>
      </c>
      <c r="W13" s="16">
        <f>_xlfn.XLOOKUP(W$1,demand!$A$2:$A$18,demand!$E$2:$E$18)*$B13</f>
        <v>99</v>
      </c>
      <c r="X13" s="16">
        <f>_xlfn.XLOOKUP(X$1,demand!$A$2:$A$18,demand!$E$2:$E$18)*$B13</f>
        <v>71.5</v>
      </c>
    </row>
    <row r="14" spans="1:24" x14ac:dyDescent="0.25">
      <c r="A14" s="4" t="s">
        <v>170</v>
      </c>
      <c r="B14" s="4">
        <v>1200</v>
      </c>
      <c r="C14" s="16">
        <f>_xlfn.XLOOKUP(C$1,demand!$A$2:$A$18,demand!$E$2:$E$18)*$B14</f>
        <v>22.8</v>
      </c>
      <c r="D14" s="16">
        <f>_xlfn.XLOOKUP(D$1,demand!$A$2:$A$18,demand!$E$2:$E$18)*$B14</f>
        <v>20.400000000000002</v>
      </c>
      <c r="E14" s="16">
        <f>_xlfn.XLOOKUP(E$1,demand!$A$2:$A$18,demand!$E$2:$E$18)*$B14</f>
        <v>38.4</v>
      </c>
      <c r="F14" s="16">
        <f>_xlfn.XLOOKUP(F$1,demand!$A$2:$A$18,demand!$E$2:$E$18)*$B14</f>
        <v>15.600000000000001</v>
      </c>
      <c r="G14" s="16">
        <f>_xlfn.XLOOKUP(G$1,demand!$A$2:$A$18,demand!$E$2:$E$18)*$B14</f>
        <v>15.600000000000001</v>
      </c>
      <c r="H14" s="16">
        <f>_xlfn.XLOOKUP(H$1,demand!$A$2:$A$18,demand!$E$2:$E$18)*$B14</f>
        <v>22.8</v>
      </c>
      <c r="I14" s="16">
        <f>_xlfn.XLOOKUP(I$1,demand!$A$2:$A$18,demand!$E$2:$E$18)*$B14</f>
        <v>20.400000000000002</v>
      </c>
      <c r="J14" s="16">
        <f>_xlfn.XLOOKUP(J$1,demand!$A$2:$A$18,demand!$E$2:$E$18)*$B14</f>
        <v>38.4</v>
      </c>
      <c r="K14" s="16">
        <f>_xlfn.XLOOKUP(K$1,demand!$A$2:$A$18,demand!$E$2:$E$18)*$B14</f>
        <v>15.600000000000001</v>
      </c>
      <c r="L14" s="16">
        <f>_xlfn.XLOOKUP(L$1,demand!$A$2:$A$18,demand!$E$2:$E$18)*$B14</f>
        <v>15.600000000000001</v>
      </c>
      <c r="M14" s="16">
        <f>_xlfn.XLOOKUP(M$1,demand!$A$2:$A$18,demand!$E$2:$E$18)*$B14</f>
        <v>28.8</v>
      </c>
      <c r="N14" s="16">
        <f>_xlfn.XLOOKUP(N$1,demand!$A$2:$A$18,demand!$E$2:$E$18)*$B14</f>
        <v>26.400000000000002</v>
      </c>
      <c r="O14" s="16">
        <f>_xlfn.XLOOKUP(O$1,demand!$A$2:$A$18,demand!$E$2:$E$18)*$B14</f>
        <v>36</v>
      </c>
      <c r="P14" s="16">
        <f>_xlfn.XLOOKUP(P$1,demand!$A$2:$A$18,demand!$E$2:$E$18)*$B14</f>
        <v>37.200000000000003</v>
      </c>
      <c r="Q14" s="16">
        <f>_xlfn.XLOOKUP(Q$1,demand!$A$2:$A$18,demand!$E$2:$E$18)*$B14</f>
        <v>40.800000000000004</v>
      </c>
      <c r="R14" s="16">
        <f>_xlfn.XLOOKUP(R$1,demand!$A$2:$A$18,demand!$E$2:$E$18)*$B14</f>
        <v>160.80000000000001</v>
      </c>
      <c r="S14" s="16">
        <f>_xlfn.XLOOKUP(S$1,demand!$A$2:$A$18,demand!$E$2:$E$18)*$B14</f>
        <v>117.60000000000001</v>
      </c>
      <c r="T14" s="16">
        <f>_xlfn.XLOOKUP(T$1,demand!$A$2:$A$18,demand!$E$2:$E$18)*$B14</f>
        <v>192</v>
      </c>
      <c r="U14" s="16">
        <f>_xlfn.XLOOKUP(U$1,demand!$A$2:$A$18,demand!$E$2:$E$18)*$B14</f>
        <v>60</v>
      </c>
      <c r="V14" s="16">
        <f>_xlfn.XLOOKUP(V$1,demand!$A$2:$A$18,demand!$E$2:$E$18)*$B14</f>
        <v>201.60000000000002</v>
      </c>
      <c r="W14" s="16">
        <f>_xlfn.XLOOKUP(W$1,demand!$A$2:$A$18,demand!$E$2:$E$18)*$B14</f>
        <v>108</v>
      </c>
      <c r="X14" s="16">
        <f>_xlfn.XLOOKUP(X$1,demand!$A$2:$A$18,demand!$E$2:$E$18)*$B14</f>
        <v>78</v>
      </c>
    </row>
    <row r="15" spans="1:24" x14ac:dyDescent="0.25">
      <c r="A15" s="4" t="s">
        <v>171</v>
      </c>
      <c r="B15" s="4">
        <v>1300</v>
      </c>
      <c r="C15" s="16">
        <f>_xlfn.XLOOKUP(C$1,demand!$A$2:$A$18,demand!$E$2:$E$18)*$B15</f>
        <v>24.7</v>
      </c>
      <c r="D15" s="16">
        <f>_xlfn.XLOOKUP(D$1,demand!$A$2:$A$18,demand!$E$2:$E$18)*$B15</f>
        <v>22.1</v>
      </c>
      <c r="E15" s="16">
        <f>_xlfn.XLOOKUP(E$1,demand!$A$2:$A$18,demand!$E$2:$E$18)*$B15</f>
        <v>41.6</v>
      </c>
      <c r="F15" s="16">
        <f>_xlfn.XLOOKUP(F$1,demand!$A$2:$A$18,demand!$E$2:$E$18)*$B15</f>
        <v>16.900000000000002</v>
      </c>
      <c r="G15" s="16">
        <f>_xlfn.XLOOKUP(G$1,demand!$A$2:$A$18,demand!$E$2:$E$18)*$B15</f>
        <v>16.900000000000002</v>
      </c>
      <c r="H15" s="16">
        <f>_xlfn.XLOOKUP(H$1,demand!$A$2:$A$18,demand!$E$2:$E$18)*$B15</f>
        <v>24.7</v>
      </c>
      <c r="I15" s="16">
        <f>_xlfn.XLOOKUP(I$1,demand!$A$2:$A$18,demand!$E$2:$E$18)*$B15</f>
        <v>22.1</v>
      </c>
      <c r="J15" s="16">
        <f>_xlfn.XLOOKUP(J$1,demand!$A$2:$A$18,demand!$E$2:$E$18)*$B15</f>
        <v>41.6</v>
      </c>
      <c r="K15" s="16">
        <f>_xlfn.XLOOKUP(K$1,demand!$A$2:$A$18,demand!$E$2:$E$18)*$B15</f>
        <v>16.900000000000002</v>
      </c>
      <c r="L15" s="16">
        <f>_xlfn.XLOOKUP(L$1,demand!$A$2:$A$18,demand!$E$2:$E$18)*$B15</f>
        <v>16.900000000000002</v>
      </c>
      <c r="M15" s="16">
        <f>_xlfn.XLOOKUP(M$1,demand!$A$2:$A$18,demand!$E$2:$E$18)*$B15</f>
        <v>31.2</v>
      </c>
      <c r="N15" s="16">
        <f>_xlfn.XLOOKUP(N$1,demand!$A$2:$A$18,demand!$E$2:$E$18)*$B15</f>
        <v>28.6</v>
      </c>
      <c r="O15" s="16">
        <f>_xlfn.XLOOKUP(O$1,demand!$A$2:$A$18,demand!$E$2:$E$18)*$B15</f>
        <v>39</v>
      </c>
      <c r="P15" s="16">
        <f>_xlfn.XLOOKUP(P$1,demand!$A$2:$A$18,demand!$E$2:$E$18)*$B15</f>
        <v>40.299999999999997</v>
      </c>
      <c r="Q15" s="16">
        <f>_xlfn.XLOOKUP(Q$1,demand!$A$2:$A$18,demand!$E$2:$E$18)*$B15</f>
        <v>44.2</v>
      </c>
      <c r="R15" s="16">
        <f>_xlfn.XLOOKUP(R$1,demand!$A$2:$A$18,demand!$E$2:$E$18)*$B15</f>
        <v>174.20000000000002</v>
      </c>
      <c r="S15" s="16">
        <f>_xlfn.XLOOKUP(S$1,demand!$A$2:$A$18,demand!$E$2:$E$18)*$B15</f>
        <v>127.4</v>
      </c>
      <c r="T15" s="16">
        <f>_xlfn.XLOOKUP(T$1,demand!$A$2:$A$18,demand!$E$2:$E$18)*$B15</f>
        <v>208</v>
      </c>
      <c r="U15" s="16">
        <f>_xlfn.XLOOKUP(U$1,demand!$A$2:$A$18,demand!$E$2:$E$18)*$B15</f>
        <v>65</v>
      </c>
      <c r="V15" s="16">
        <f>_xlfn.XLOOKUP(V$1,demand!$A$2:$A$18,demand!$E$2:$E$18)*$B15</f>
        <v>218.4</v>
      </c>
      <c r="W15" s="16">
        <f>_xlfn.XLOOKUP(W$1,demand!$A$2:$A$18,demand!$E$2:$E$18)*$B15</f>
        <v>117</v>
      </c>
      <c r="X15" s="16">
        <f>_xlfn.XLOOKUP(X$1,demand!$A$2:$A$18,demand!$E$2:$E$18)*$B15</f>
        <v>84.5</v>
      </c>
    </row>
    <row r="16" spans="1:24" x14ac:dyDescent="0.25">
      <c r="A16" s="4" t="s">
        <v>172</v>
      </c>
      <c r="B16" s="4">
        <v>1400</v>
      </c>
      <c r="C16" s="16">
        <f>_xlfn.XLOOKUP(C$1,demand!$A$2:$A$18,demand!$E$2:$E$18)*$B16</f>
        <v>26.599999999999998</v>
      </c>
      <c r="D16" s="16">
        <f>_xlfn.XLOOKUP(D$1,demand!$A$2:$A$18,demand!$E$2:$E$18)*$B16</f>
        <v>23.8</v>
      </c>
      <c r="E16" s="16">
        <f>_xlfn.XLOOKUP(E$1,demand!$A$2:$A$18,demand!$E$2:$E$18)*$B16</f>
        <v>44.800000000000004</v>
      </c>
      <c r="F16" s="16">
        <f>_xlfn.XLOOKUP(F$1,demand!$A$2:$A$18,demand!$E$2:$E$18)*$B16</f>
        <v>18.200000000000003</v>
      </c>
      <c r="G16" s="16">
        <f>_xlfn.XLOOKUP(G$1,demand!$A$2:$A$18,demand!$E$2:$E$18)*$B16</f>
        <v>18.200000000000003</v>
      </c>
      <c r="H16" s="16">
        <f>_xlfn.XLOOKUP(H$1,demand!$A$2:$A$18,demand!$E$2:$E$18)*$B16</f>
        <v>26.599999999999998</v>
      </c>
      <c r="I16" s="16">
        <f>_xlfn.XLOOKUP(I$1,demand!$A$2:$A$18,demand!$E$2:$E$18)*$B16</f>
        <v>23.8</v>
      </c>
      <c r="J16" s="16">
        <f>_xlfn.XLOOKUP(J$1,demand!$A$2:$A$18,demand!$E$2:$E$18)*$B16</f>
        <v>44.800000000000004</v>
      </c>
      <c r="K16" s="16">
        <f>_xlfn.XLOOKUP(K$1,demand!$A$2:$A$18,demand!$E$2:$E$18)*$B16</f>
        <v>18.200000000000003</v>
      </c>
      <c r="L16" s="16">
        <f>_xlfn.XLOOKUP(L$1,demand!$A$2:$A$18,demand!$E$2:$E$18)*$B16</f>
        <v>18.200000000000003</v>
      </c>
      <c r="M16" s="16">
        <f>_xlfn.XLOOKUP(M$1,demand!$A$2:$A$18,demand!$E$2:$E$18)*$B16</f>
        <v>33.6</v>
      </c>
      <c r="N16" s="16">
        <f>_xlfn.XLOOKUP(N$1,demand!$A$2:$A$18,demand!$E$2:$E$18)*$B16</f>
        <v>30.800000000000004</v>
      </c>
      <c r="O16" s="16">
        <f>_xlfn.XLOOKUP(O$1,demand!$A$2:$A$18,demand!$E$2:$E$18)*$B16</f>
        <v>42</v>
      </c>
      <c r="P16" s="16">
        <f>_xlfn.XLOOKUP(P$1,demand!$A$2:$A$18,demand!$E$2:$E$18)*$B16</f>
        <v>43.4</v>
      </c>
      <c r="Q16" s="16">
        <f>_xlfn.XLOOKUP(Q$1,demand!$A$2:$A$18,demand!$E$2:$E$18)*$B16</f>
        <v>47.6</v>
      </c>
      <c r="R16" s="16">
        <f>_xlfn.XLOOKUP(R$1,demand!$A$2:$A$18,demand!$E$2:$E$18)*$B16</f>
        <v>187.60000000000002</v>
      </c>
      <c r="S16" s="16">
        <f>_xlfn.XLOOKUP(S$1,demand!$A$2:$A$18,demand!$E$2:$E$18)*$B16</f>
        <v>137.20000000000002</v>
      </c>
      <c r="T16" s="16">
        <f>_xlfn.XLOOKUP(T$1,demand!$A$2:$A$18,demand!$E$2:$E$18)*$B16</f>
        <v>224</v>
      </c>
      <c r="U16" s="16">
        <f>_xlfn.XLOOKUP(U$1,demand!$A$2:$A$18,demand!$E$2:$E$18)*$B16</f>
        <v>70</v>
      </c>
      <c r="V16" s="16">
        <f>_xlfn.XLOOKUP(V$1,demand!$A$2:$A$18,demand!$E$2:$E$18)*$B16</f>
        <v>235.20000000000002</v>
      </c>
      <c r="W16" s="16">
        <f>_xlfn.XLOOKUP(W$1,demand!$A$2:$A$18,demand!$E$2:$E$18)*$B16</f>
        <v>126</v>
      </c>
      <c r="X16" s="16">
        <f>_xlfn.XLOOKUP(X$1,demand!$A$2:$A$18,demand!$E$2:$E$18)*$B16</f>
        <v>91</v>
      </c>
    </row>
    <row r="17" spans="1:24" x14ac:dyDescent="0.25">
      <c r="A17" s="4" t="s">
        <v>173</v>
      </c>
      <c r="B17" s="4">
        <v>1500</v>
      </c>
      <c r="C17" s="16">
        <f>_xlfn.XLOOKUP(C$1,demand!$A$2:$A$18,demand!$E$2:$E$18)*$B17</f>
        <v>28.5</v>
      </c>
      <c r="D17" s="16">
        <f>_xlfn.XLOOKUP(D$1,demand!$A$2:$A$18,demand!$E$2:$E$18)*$B17</f>
        <v>25.500000000000004</v>
      </c>
      <c r="E17" s="16">
        <f>_xlfn.XLOOKUP(E$1,demand!$A$2:$A$18,demand!$E$2:$E$18)*$B17</f>
        <v>48</v>
      </c>
      <c r="F17" s="16">
        <f>_xlfn.XLOOKUP(F$1,demand!$A$2:$A$18,demand!$E$2:$E$18)*$B17</f>
        <v>19.5</v>
      </c>
      <c r="G17" s="16">
        <f>_xlfn.XLOOKUP(G$1,demand!$A$2:$A$18,demand!$E$2:$E$18)*$B17</f>
        <v>19.5</v>
      </c>
      <c r="H17" s="16">
        <f>_xlfn.XLOOKUP(H$1,demand!$A$2:$A$18,demand!$E$2:$E$18)*$B17</f>
        <v>28.5</v>
      </c>
      <c r="I17" s="16">
        <f>_xlfn.XLOOKUP(I$1,demand!$A$2:$A$18,demand!$E$2:$E$18)*$B17</f>
        <v>25.500000000000004</v>
      </c>
      <c r="J17" s="16">
        <f>_xlfn.XLOOKUP(J$1,demand!$A$2:$A$18,demand!$E$2:$E$18)*$B17</f>
        <v>48</v>
      </c>
      <c r="K17" s="16">
        <f>_xlfn.XLOOKUP(K$1,demand!$A$2:$A$18,demand!$E$2:$E$18)*$B17</f>
        <v>19.5</v>
      </c>
      <c r="L17" s="16">
        <f>_xlfn.XLOOKUP(L$1,demand!$A$2:$A$18,demand!$E$2:$E$18)*$B17</f>
        <v>19.5</v>
      </c>
      <c r="M17" s="16">
        <f>_xlfn.XLOOKUP(M$1,demand!$A$2:$A$18,demand!$E$2:$E$18)*$B17</f>
        <v>36</v>
      </c>
      <c r="N17" s="16">
        <f>_xlfn.XLOOKUP(N$1,demand!$A$2:$A$18,demand!$E$2:$E$18)*$B17</f>
        <v>33</v>
      </c>
      <c r="O17" s="16">
        <f>_xlfn.XLOOKUP(O$1,demand!$A$2:$A$18,demand!$E$2:$E$18)*$B17</f>
        <v>45</v>
      </c>
      <c r="P17" s="16">
        <f>_xlfn.XLOOKUP(P$1,demand!$A$2:$A$18,demand!$E$2:$E$18)*$B17</f>
        <v>46.5</v>
      </c>
      <c r="Q17" s="16">
        <f>_xlfn.XLOOKUP(Q$1,demand!$A$2:$A$18,demand!$E$2:$E$18)*$B17</f>
        <v>51.000000000000007</v>
      </c>
      <c r="R17" s="16">
        <f>_xlfn.XLOOKUP(R$1,demand!$A$2:$A$18,demand!$E$2:$E$18)*$B17</f>
        <v>201</v>
      </c>
      <c r="S17" s="16">
        <f>_xlfn.XLOOKUP(S$1,demand!$A$2:$A$18,demand!$E$2:$E$18)*$B17</f>
        <v>147</v>
      </c>
      <c r="T17" s="16">
        <f>_xlfn.XLOOKUP(T$1,demand!$A$2:$A$18,demand!$E$2:$E$18)*$B17</f>
        <v>240</v>
      </c>
      <c r="U17" s="16">
        <f>_xlfn.XLOOKUP(U$1,demand!$A$2:$A$18,demand!$E$2:$E$18)*$B17</f>
        <v>75</v>
      </c>
      <c r="V17" s="16">
        <f>_xlfn.XLOOKUP(V$1,demand!$A$2:$A$18,demand!$E$2:$E$18)*$B17</f>
        <v>252.00000000000003</v>
      </c>
      <c r="W17" s="16">
        <f>_xlfn.XLOOKUP(W$1,demand!$A$2:$A$18,demand!$E$2:$E$18)*$B17</f>
        <v>135</v>
      </c>
      <c r="X17" s="16">
        <f>_xlfn.XLOOKUP(X$1,demand!$A$2:$A$18,demand!$E$2:$E$18)*$B17</f>
        <v>97.5</v>
      </c>
    </row>
    <row r="18" spans="1:24" x14ac:dyDescent="0.25">
      <c r="A18" s="4" t="s">
        <v>174</v>
      </c>
      <c r="B18" s="4">
        <v>1600</v>
      </c>
      <c r="C18" s="16">
        <f>_xlfn.XLOOKUP(C$1,demand!$A$2:$A$18,demand!$E$2:$E$18)*$B18</f>
        <v>30.4</v>
      </c>
      <c r="D18" s="16">
        <f>_xlfn.XLOOKUP(D$1,demand!$A$2:$A$18,demand!$E$2:$E$18)*$B18</f>
        <v>27.200000000000003</v>
      </c>
      <c r="E18" s="16">
        <f>_xlfn.XLOOKUP(E$1,demand!$A$2:$A$18,demand!$E$2:$E$18)*$B18</f>
        <v>51.2</v>
      </c>
      <c r="F18" s="16">
        <f>_xlfn.XLOOKUP(F$1,demand!$A$2:$A$18,demand!$E$2:$E$18)*$B18</f>
        <v>20.8</v>
      </c>
      <c r="G18" s="16">
        <f>_xlfn.XLOOKUP(G$1,demand!$A$2:$A$18,demand!$E$2:$E$18)*$B18</f>
        <v>20.8</v>
      </c>
      <c r="H18" s="16">
        <f>_xlfn.XLOOKUP(H$1,demand!$A$2:$A$18,demand!$E$2:$E$18)*$B18</f>
        <v>30.4</v>
      </c>
      <c r="I18" s="16">
        <f>_xlfn.XLOOKUP(I$1,demand!$A$2:$A$18,demand!$E$2:$E$18)*$B18</f>
        <v>27.200000000000003</v>
      </c>
      <c r="J18" s="16">
        <f>_xlfn.XLOOKUP(J$1,demand!$A$2:$A$18,demand!$E$2:$E$18)*$B18</f>
        <v>51.2</v>
      </c>
      <c r="K18" s="16">
        <f>_xlfn.XLOOKUP(K$1,demand!$A$2:$A$18,demand!$E$2:$E$18)*$B18</f>
        <v>20.8</v>
      </c>
      <c r="L18" s="16">
        <f>_xlfn.XLOOKUP(L$1,demand!$A$2:$A$18,demand!$E$2:$E$18)*$B18</f>
        <v>20.8</v>
      </c>
      <c r="M18" s="16">
        <f>_xlfn.XLOOKUP(M$1,demand!$A$2:$A$18,demand!$E$2:$E$18)*$B18</f>
        <v>38.4</v>
      </c>
      <c r="N18" s="16">
        <f>_xlfn.XLOOKUP(N$1,demand!$A$2:$A$18,demand!$E$2:$E$18)*$B18</f>
        <v>35.200000000000003</v>
      </c>
      <c r="O18" s="16">
        <f>_xlfn.XLOOKUP(O$1,demand!$A$2:$A$18,demand!$E$2:$E$18)*$B18</f>
        <v>48</v>
      </c>
      <c r="P18" s="16">
        <f>_xlfn.XLOOKUP(P$1,demand!$A$2:$A$18,demand!$E$2:$E$18)*$B18</f>
        <v>49.6</v>
      </c>
      <c r="Q18" s="16">
        <f>_xlfn.XLOOKUP(Q$1,demand!$A$2:$A$18,demand!$E$2:$E$18)*$B18</f>
        <v>54.400000000000006</v>
      </c>
      <c r="R18" s="16">
        <f>_xlfn.XLOOKUP(R$1,demand!$A$2:$A$18,demand!$E$2:$E$18)*$B18</f>
        <v>214.4</v>
      </c>
      <c r="S18" s="16">
        <f>_xlfn.XLOOKUP(S$1,demand!$A$2:$A$18,demand!$E$2:$E$18)*$B18</f>
        <v>156.80000000000001</v>
      </c>
      <c r="T18" s="16">
        <f>_xlfn.XLOOKUP(T$1,demand!$A$2:$A$18,demand!$E$2:$E$18)*$B18</f>
        <v>256</v>
      </c>
      <c r="U18" s="16">
        <f>_xlfn.XLOOKUP(U$1,demand!$A$2:$A$18,demand!$E$2:$E$18)*$B18</f>
        <v>80</v>
      </c>
      <c r="V18" s="16">
        <f>_xlfn.XLOOKUP(V$1,demand!$A$2:$A$18,demand!$E$2:$E$18)*$B18</f>
        <v>268.8</v>
      </c>
      <c r="W18" s="16">
        <f>_xlfn.XLOOKUP(W$1,demand!$A$2:$A$18,demand!$E$2:$E$18)*$B18</f>
        <v>144</v>
      </c>
      <c r="X18" s="16">
        <f>_xlfn.XLOOKUP(X$1,demand!$A$2:$A$18,demand!$E$2:$E$18)*$B18</f>
        <v>104</v>
      </c>
    </row>
    <row r="19" spans="1:24" x14ac:dyDescent="0.25">
      <c r="A19" s="4" t="s">
        <v>175</v>
      </c>
      <c r="B19" s="4">
        <v>1700</v>
      </c>
      <c r="C19" s="16">
        <f>_xlfn.XLOOKUP(C$1,demand!$A$2:$A$18,demand!$E$2:$E$18)*$B19</f>
        <v>32.299999999999997</v>
      </c>
      <c r="D19" s="16">
        <f>_xlfn.XLOOKUP(D$1,demand!$A$2:$A$18,demand!$E$2:$E$18)*$B19</f>
        <v>28.900000000000002</v>
      </c>
      <c r="E19" s="16">
        <f>_xlfn.XLOOKUP(E$1,demand!$A$2:$A$18,demand!$E$2:$E$18)*$B19</f>
        <v>54.4</v>
      </c>
      <c r="F19" s="16">
        <f>_xlfn.XLOOKUP(F$1,demand!$A$2:$A$18,demand!$E$2:$E$18)*$B19</f>
        <v>22.1</v>
      </c>
      <c r="G19" s="16">
        <f>_xlfn.XLOOKUP(G$1,demand!$A$2:$A$18,demand!$E$2:$E$18)*$B19</f>
        <v>22.1</v>
      </c>
      <c r="H19" s="16">
        <f>_xlfn.XLOOKUP(H$1,demand!$A$2:$A$18,demand!$E$2:$E$18)*$B19</f>
        <v>32.299999999999997</v>
      </c>
      <c r="I19" s="16">
        <f>_xlfn.XLOOKUP(I$1,demand!$A$2:$A$18,demand!$E$2:$E$18)*$B19</f>
        <v>28.900000000000002</v>
      </c>
      <c r="J19" s="16">
        <f>_xlfn.XLOOKUP(J$1,demand!$A$2:$A$18,demand!$E$2:$E$18)*$B19</f>
        <v>54.4</v>
      </c>
      <c r="K19" s="16">
        <f>_xlfn.XLOOKUP(K$1,demand!$A$2:$A$18,demand!$E$2:$E$18)*$B19</f>
        <v>22.1</v>
      </c>
      <c r="L19" s="16">
        <f>_xlfn.XLOOKUP(L$1,demand!$A$2:$A$18,demand!$E$2:$E$18)*$B19</f>
        <v>22.1</v>
      </c>
      <c r="M19" s="16">
        <f>_xlfn.XLOOKUP(M$1,demand!$A$2:$A$18,demand!$E$2:$E$18)*$B19</f>
        <v>40.800000000000004</v>
      </c>
      <c r="N19" s="16">
        <f>_xlfn.XLOOKUP(N$1,demand!$A$2:$A$18,demand!$E$2:$E$18)*$B19</f>
        <v>37.400000000000006</v>
      </c>
      <c r="O19" s="16">
        <f>_xlfn.XLOOKUP(O$1,demand!$A$2:$A$18,demand!$E$2:$E$18)*$B19</f>
        <v>51</v>
      </c>
      <c r="P19" s="16">
        <f>_xlfn.XLOOKUP(P$1,demand!$A$2:$A$18,demand!$E$2:$E$18)*$B19</f>
        <v>52.7</v>
      </c>
      <c r="Q19" s="16">
        <f>_xlfn.XLOOKUP(Q$1,demand!$A$2:$A$18,demand!$E$2:$E$18)*$B19</f>
        <v>57.800000000000004</v>
      </c>
      <c r="R19" s="16">
        <f>_xlfn.XLOOKUP(R$1,demand!$A$2:$A$18,demand!$E$2:$E$18)*$B19</f>
        <v>227.8</v>
      </c>
      <c r="S19" s="16">
        <f>_xlfn.XLOOKUP(S$1,demand!$A$2:$A$18,demand!$E$2:$E$18)*$B19</f>
        <v>166.6</v>
      </c>
      <c r="T19" s="16">
        <f>_xlfn.XLOOKUP(T$1,demand!$A$2:$A$18,demand!$E$2:$E$18)*$B19</f>
        <v>272</v>
      </c>
      <c r="U19" s="16">
        <f>_xlfn.XLOOKUP(U$1,demand!$A$2:$A$18,demand!$E$2:$E$18)*$B19</f>
        <v>85</v>
      </c>
      <c r="V19" s="16">
        <f>_xlfn.XLOOKUP(V$1,demand!$A$2:$A$18,demand!$E$2:$E$18)*$B19</f>
        <v>285.60000000000002</v>
      </c>
      <c r="W19" s="16">
        <f>_xlfn.XLOOKUP(W$1,demand!$A$2:$A$18,demand!$E$2:$E$18)*$B19</f>
        <v>153</v>
      </c>
      <c r="X19" s="16">
        <f>_xlfn.XLOOKUP(X$1,demand!$A$2:$A$18,demand!$E$2:$E$18)*$B19</f>
        <v>110.5</v>
      </c>
    </row>
    <row r="20" spans="1:24" x14ac:dyDescent="0.25">
      <c r="A20" s="4" t="s">
        <v>176</v>
      </c>
      <c r="B20" s="4">
        <v>1800</v>
      </c>
      <c r="C20" s="16">
        <f>_xlfn.XLOOKUP(C$1,demand!$A$2:$A$18,demand!$E$2:$E$18)*$B20</f>
        <v>34.199999999999996</v>
      </c>
      <c r="D20" s="16">
        <f>_xlfn.XLOOKUP(D$1,demand!$A$2:$A$18,demand!$E$2:$E$18)*$B20</f>
        <v>30.6</v>
      </c>
      <c r="E20" s="16">
        <f>_xlfn.XLOOKUP(E$1,demand!$A$2:$A$18,demand!$E$2:$E$18)*$B20</f>
        <v>57.6</v>
      </c>
      <c r="F20" s="16">
        <f>_xlfn.XLOOKUP(F$1,demand!$A$2:$A$18,demand!$E$2:$E$18)*$B20</f>
        <v>23.400000000000002</v>
      </c>
      <c r="G20" s="16">
        <f>_xlfn.XLOOKUP(G$1,demand!$A$2:$A$18,demand!$E$2:$E$18)*$B20</f>
        <v>23.400000000000002</v>
      </c>
      <c r="H20" s="16">
        <f>_xlfn.XLOOKUP(H$1,demand!$A$2:$A$18,demand!$E$2:$E$18)*$B20</f>
        <v>34.199999999999996</v>
      </c>
      <c r="I20" s="16">
        <f>_xlfn.XLOOKUP(I$1,demand!$A$2:$A$18,demand!$E$2:$E$18)*$B20</f>
        <v>30.6</v>
      </c>
      <c r="J20" s="16">
        <f>_xlfn.XLOOKUP(J$1,demand!$A$2:$A$18,demand!$E$2:$E$18)*$B20</f>
        <v>57.6</v>
      </c>
      <c r="K20" s="16">
        <f>_xlfn.XLOOKUP(K$1,demand!$A$2:$A$18,demand!$E$2:$E$18)*$B20</f>
        <v>23.400000000000002</v>
      </c>
      <c r="L20" s="16">
        <f>_xlfn.XLOOKUP(L$1,demand!$A$2:$A$18,demand!$E$2:$E$18)*$B20</f>
        <v>23.400000000000002</v>
      </c>
      <c r="M20" s="16">
        <f>_xlfn.XLOOKUP(M$1,demand!$A$2:$A$18,demand!$E$2:$E$18)*$B20</f>
        <v>43.2</v>
      </c>
      <c r="N20" s="16">
        <f>_xlfn.XLOOKUP(N$1,demand!$A$2:$A$18,demand!$E$2:$E$18)*$B20</f>
        <v>39.6</v>
      </c>
      <c r="O20" s="16">
        <f>_xlfn.XLOOKUP(O$1,demand!$A$2:$A$18,demand!$E$2:$E$18)*$B20</f>
        <v>54</v>
      </c>
      <c r="P20" s="16">
        <f>_xlfn.XLOOKUP(P$1,demand!$A$2:$A$18,demand!$E$2:$E$18)*$B20</f>
        <v>55.8</v>
      </c>
      <c r="Q20" s="16">
        <f>_xlfn.XLOOKUP(Q$1,demand!$A$2:$A$18,demand!$E$2:$E$18)*$B20</f>
        <v>61.2</v>
      </c>
      <c r="R20" s="16">
        <f>_xlfn.XLOOKUP(R$1,demand!$A$2:$A$18,demand!$E$2:$E$18)*$B20</f>
        <v>241.20000000000002</v>
      </c>
      <c r="S20" s="16">
        <f>_xlfn.XLOOKUP(S$1,demand!$A$2:$A$18,demand!$E$2:$E$18)*$B20</f>
        <v>176.4</v>
      </c>
      <c r="T20" s="16">
        <f>_xlfn.XLOOKUP(T$1,demand!$A$2:$A$18,demand!$E$2:$E$18)*$B20</f>
        <v>288</v>
      </c>
      <c r="U20" s="16">
        <f>_xlfn.XLOOKUP(U$1,demand!$A$2:$A$18,demand!$E$2:$E$18)*$B20</f>
        <v>90</v>
      </c>
      <c r="V20" s="16">
        <f>_xlfn.XLOOKUP(V$1,demand!$A$2:$A$18,demand!$E$2:$E$18)*$B20</f>
        <v>302.40000000000003</v>
      </c>
      <c r="W20" s="16">
        <f>_xlfn.XLOOKUP(W$1,demand!$A$2:$A$18,demand!$E$2:$E$18)*$B20</f>
        <v>162</v>
      </c>
      <c r="X20" s="16">
        <f>_xlfn.XLOOKUP(X$1,demand!$A$2:$A$18,demand!$E$2:$E$18)*$B20</f>
        <v>117</v>
      </c>
    </row>
    <row r="21" spans="1:24" x14ac:dyDescent="0.25">
      <c r="A21" s="4" t="s">
        <v>177</v>
      </c>
      <c r="B21" s="4">
        <v>1900</v>
      </c>
      <c r="C21" s="16">
        <f>_xlfn.XLOOKUP(C$1,demand!$A$2:$A$18,demand!$E$2:$E$18)*$B21</f>
        <v>36.1</v>
      </c>
      <c r="D21" s="16">
        <f>_xlfn.XLOOKUP(D$1,demand!$A$2:$A$18,demand!$E$2:$E$18)*$B21</f>
        <v>32.300000000000004</v>
      </c>
      <c r="E21" s="16">
        <f>_xlfn.XLOOKUP(E$1,demand!$A$2:$A$18,demand!$E$2:$E$18)*$B21</f>
        <v>60.800000000000004</v>
      </c>
      <c r="F21" s="16">
        <f>_xlfn.XLOOKUP(F$1,demand!$A$2:$A$18,demand!$E$2:$E$18)*$B21</f>
        <v>24.700000000000003</v>
      </c>
      <c r="G21" s="16">
        <f>_xlfn.XLOOKUP(G$1,demand!$A$2:$A$18,demand!$E$2:$E$18)*$B21</f>
        <v>24.700000000000003</v>
      </c>
      <c r="H21" s="16">
        <f>_xlfn.XLOOKUP(H$1,demand!$A$2:$A$18,demand!$E$2:$E$18)*$B21</f>
        <v>36.1</v>
      </c>
      <c r="I21" s="16">
        <f>_xlfn.XLOOKUP(I$1,demand!$A$2:$A$18,demand!$E$2:$E$18)*$B21</f>
        <v>32.300000000000004</v>
      </c>
      <c r="J21" s="16">
        <f>_xlfn.XLOOKUP(J$1,demand!$A$2:$A$18,demand!$E$2:$E$18)*$B21</f>
        <v>60.800000000000004</v>
      </c>
      <c r="K21" s="16">
        <f>_xlfn.XLOOKUP(K$1,demand!$A$2:$A$18,demand!$E$2:$E$18)*$B21</f>
        <v>24.700000000000003</v>
      </c>
      <c r="L21" s="16">
        <f>_xlfn.XLOOKUP(L$1,demand!$A$2:$A$18,demand!$E$2:$E$18)*$B21</f>
        <v>24.700000000000003</v>
      </c>
      <c r="M21" s="16">
        <f>_xlfn.XLOOKUP(M$1,demand!$A$2:$A$18,demand!$E$2:$E$18)*$B21</f>
        <v>45.6</v>
      </c>
      <c r="N21" s="16">
        <f>_xlfn.XLOOKUP(N$1,demand!$A$2:$A$18,demand!$E$2:$E$18)*$B21</f>
        <v>41.800000000000004</v>
      </c>
      <c r="O21" s="16">
        <f>_xlfn.XLOOKUP(O$1,demand!$A$2:$A$18,demand!$E$2:$E$18)*$B21</f>
        <v>57</v>
      </c>
      <c r="P21" s="16">
        <f>_xlfn.XLOOKUP(P$1,demand!$A$2:$A$18,demand!$E$2:$E$18)*$B21</f>
        <v>58.9</v>
      </c>
      <c r="Q21" s="16">
        <f>_xlfn.XLOOKUP(Q$1,demand!$A$2:$A$18,demand!$E$2:$E$18)*$B21</f>
        <v>64.600000000000009</v>
      </c>
      <c r="R21" s="16">
        <f>_xlfn.XLOOKUP(R$1,demand!$A$2:$A$18,demand!$E$2:$E$18)*$B21</f>
        <v>254.60000000000002</v>
      </c>
      <c r="S21" s="16">
        <f>_xlfn.XLOOKUP(S$1,demand!$A$2:$A$18,demand!$E$2:$E$18)*$B21</f>
        <v>186.20000000000002</v>
      </c>
      <c r="T21" s="16">
        <f>_xlfn.XLOOKUP(T$1,demand!$A$2:$A$18,demand!$E$2:$E$18)*$B21</f>
        <v>304</v>
      </c>
      <c r="U21" s="16">
        <f>_xlfn.XLOOKUP(U$1,demand!$A$2:$A$18,demand!$E$2:$E$18)*$B21</f>
        <v>95</v>
      </c>
      <c r="V21" s="16">
        <f>_xlfn.XLOOKUP(V$1,demand!$A$2:$A$18,demand!$E$2:$E$18)*$B21</f>
        <v>319.20000000000005</v>
      </c>
      <c r="W21" s="16">
        <f>_xlfn.XLOOKUP(W$1,demand!$A$2:$A$18,demand!$E$2:$E$18)*$B21</f>
        <v>171</v>
      </c>
      <c r="X21" s="16">
        <f>_xlfn.XLOOKUP(X$1,demand!$A$2:$A$18,demand!$E$2:$E$18)*$B21</f>
        <v>123.5</v>
      </c>
    </row>
    <row r="22" spans="1:24" x14ac:dyDescent="0.25">
      <c r="A22" s="4" t="s">
        <v>178</v>
      </c>
      <c r="B22" s="4">
        <v>2000</v>
      </c>
      <c r="C22" s="16">
        <f>_xlfn.XLOOKUP(C$1,demand!$A$2:$A$18,demand!$E$2:$E$18)*$B22</f>
        <v>38</v>
      </c>
      <c r="D22" s="16">
        <f>_xlfn.XLOOKUP(D$1,demand!$A$2:$A$18,demand!$E$2:$E$18)*$B22</f>
        <v>34</v>
      </c>
      <c r="E22" s="16">
        <f>_xlfn.XLOOKUP(E$1,demand!$A$2:$A$18,demand!$E$2:$E$18)*$B22</f>
        <v>64</v>
      </c>
      <c r="F22" s="16">
        <f>_xlfn.XLOOKUP(F$1,demand!$A$2:$A$18,demand!$E$2:$E$18)*$B22</f>
        <v>26.000000000000004</v>
      </c>
      <c r="G22" s="16">
        <f>_xlfn.XLOOKUP(G$1,demand!$A$2:$A$18,demand!$E$2:$E$18)*$B22</f>
        <v>26.000000000000004</v>
      </c>
      <c r="H22" s="16">
        <f>_xlfn.XLOOKUP(H$1,demand!$A$2:$A$18,demand!$E$2:$E$18)*$B22</f>
        <v>38</v>
      </c>
      <c r="I22" s="16">
        <f>_xlfn.XLOOKUP(I$1,demand!$A$2:$A$18,demand!$E$2:$E$18)*$B22</f>
        <v>34</v>
      </c>
      <c r="J22" s="16">
        <f>_xlfn.XLOOKUP(J$1,demand!$A$2:$A$18,demand!$E$2:$E$18)*$B22</f>
        <v>64</v>
      </c>
      <c r="K22" s="16">
        <f>_xlfn.XLOOKUP(K$1,demand!$A$2:$A$18,demand!$E$2:$E$18)*$B22</f>
        <v>26.000000000000004</v>
      </c>
      <c r="L22" s="16">
        <f>_xlfn.XLOOKUP(L$1,demand!$A$2:$A$18,demand!$E$2:$E$18)*$B22</f>
        <v>26.000000000000004</v>
      </c>
      <c r="M22" s="16">
        <f>_xlfn.XLOOKUP(M$1,demand!$A$2:$A$18,demand!$E$2:$E$18)*$B22</f>
        <v>48</v>
      </c>
      <c r="N22" s="16">
        <f>_xlfn.XLOOKUP(N$1,demand!$A$2:$A$18,demand!$E$2:$E$18)*$B22</f>
        <v>44.000000000000007</v>
      </c>
      <c r="O22" s="16">
        <f>_xlfn.XLOOKUP(O$1,demand!$A$2:$A$18,demand!$E$2:$E$18)*$B22</f>
        <v>60</v>
      </c>
      <c r="P22" s="16">
        <f>_xlfn.XLOOKUP(P$1,demand!$A$2:$A$18,demand!$E$2:$E$18)*$B22</f>
        <v>62</v>
      </c>
      <c r="Q22" s="16">
        <f>_xlfn.XLOOKUP(Q$1,demand!$A$2:$A$18,demand!$E$2:$E$18)*$B22</f>
        <v>68</v>
      </c>
      <c r="R22" s="16">
        <f>_xlfn.XLOOKUP(R$1,demand!$A$2:$A$18,demand!$E$2:$E$18)*$B22</f>
        <v>268</v>
      </c>
      <c r="S22" s="16">
        <f>_xlfn.XLOOKUP(S$1,demand!$A$2:$A$18,demand!$E$2:$E$18)*$B22</f>
        <v>196</v>
      </c>
      <c r="T22" s="16">
        <f>_xlfn.XLOOKUP(T$1,demand!$A$2:$A$18,demand!$E$2:$E$18)*$B22</f>
        <v>320</v>
      </c>
      <c r="U22" s="16">
        <f>_xlfn.XLOOKUP(U$1,demand!$A$2:$A$18,demand!$E$2:$E$18)*$B22</f>
        <v>100</v>
      </c>
      <c r="V22" s="16">
        <f>_xlfn.XLOOKUP(V$1,demand!$A$2:$A$18,demand!$E$2:$E$18)*$B22</f>
        <v>336</v>
      </c>
      <c r="W22" s="16">
        <f>_xlfn.XLOOKUP(W$1,demand!$A$2:$A$18,demand!$E$2:$E$18)*$B22</f>
        <v>180</v>
      </c>
      <c r="X22" s="16">
        <f>_xlfn.XLOOKUP(X$1,demand!$A$2:$A$18,demand!$E$2:$E$18)*$B22</f>
        <v>130</v>
      </c>
    </row>
    <row r="23" spans="1:24" x14ac:dyDescent="0.25">
      <c r="A23" s="4" t="s">
        <v>179</v>
      </c>
      <c r="B23" s="4">
        <v>2100</v>
      </c>
      <c r="C23" s="16">
        <f>_xlfn.XLOOKUP(C$1,demand!$A$2:$A$18,demand!$E$2:$E$18)*$B23</f>
        <v>39.9</v>
      </c>
      <c r="D23" s="16">
        <f>_xlfn.XLOOKUP(D$1,demand!$A$2:$A$18,demand!$E$2:$E$18)*$B23</f>
        <v>35.700000000000003</v>
      </c>
      <c r="E23" s="16">
        <f>_xlfn.XLOOKUP(E$1,demand!$A$2:$A$18,demand!$E$2:$E$18)*$B23</f>
        <v>67.2</v>
      </c>
      <c r="F23" s="16">
        <f>_xlfn.XLOOKUP(F$1,demand!$A$2:$A$18,demand!$E$2:$E$18)*$B23</f>
        <v>27.3</v>
      </c>
      <c r="G23" s="16">
        <f>_xlfn.XLOOKUP(G$1,demand!$A$2:$A$18,demand!$E$2:$E$18)*$B23</f>
        <v>27.3</v>
      </c>
      <c r="H23" s="16">
        <f>_xlfn.XLOOKUP(H$1,demand!$A$2:$A$18,demand!$E$2:$E$18)*$B23</f>
        <v>39.9</v>
      </c>
      <c r="I23" s="16">
        <f>_xlfn.XLOOKUP(I$1,demand!$A$2:$A$18,demand!$E$2:$E$18)*$B23</f>
        <v>35.700000000000003</v>
      </c>
      <c r="J23" s="16">
        <f>_xlfn.XLOOKUP(J$1,demand!$A$2:$A$18,demand!$E$2:$E$18)*$B23</f>
        <v>67.2</v>
      </c>
      <c r="K23" s="16">
        <f>_xlfn.XLOOKUP(K$1,demand!$A$2:$A$18,demand!$E$2:$E$18)*$B23</f>
        <v>27.3</v>
      </c>
      <c r="L23" s="16">
        <f>_xlfn.XLOOKUP(L$1,demand!$A$2:$A$18,demand!$E$2:$E$18)*$B23</f>
        <v>27.3</v>
      </c>
      <c r="M23" s="16">
        <f>_xlfn.XLOOKUP(M$1,demand!$A$2:$A$18,demand!$E$2:$E$18)*$B23</f>
        <v>50.4</v>
      </c>
      <c r="N23" s="16">
        <f>_xlfn.XLOOKUP(N$1,demand!$A$2:$A$18,demand!$E$2:$E$18)*$B23</f>
        <v>46.2</v>
      </c>
      <c r="O23" s="16">
        <f>_xlfn.XLOOKUP(O$1,demand!$A$2:$A$18,demand!$E$2:$E$18)*$B23</f>
        <v>63</v>
      </c>
      <c r="P23" s="16">
        <f>_xlfn.XLOOKUP(P$1,demand!$A$2:$A$18,demand!$E$2:$E$18)*$B23</f>
        <v>65.099999999999994</v>
      </c>
      <c r="Q23" s="16">
        <f>_xlfn.XLOOKUP(Q$1,demand!$A$2:$A$18,demand!$E$2:$E$18)*$B23</f>
        <v>71.400000000000006</v>
      </c>
      <c r="R23" s="16">
        <f>_xlfn.XLOOKUP(R$1,demand!$A$2:$A$18,demand!$E$2:$E$18)*$B23</f>
        <v>281.40000000000003</v>
      </c>
      <c r="S23" s="16">
        <f>_xlfn.XLOOKUP(S$1,demand!$A$2:$A$18,demand!$E$2:$E$18)*$B23</f>
        <v>205.8</v>
      </c>
      <c r="T23" s="16">
        <f>_xlfn.XLOOKUP(T$1,demand!$A$2:$A$18,demand!$E$2:$E$18)*$B23</f>
        <v>336</v>
      </c>
      <c r="U23" s="16">
        <f>_xlfn.XLOOKUP(U$1,demand!$A$2:$A$18,demand!$E$2:$E$18)*$B23</f>
        <v>105</v>
      </c>
      <c r="V23" s="16">
        <f>_xlfn.XLOOKUP(V$1,demand!$A$2:$A$18,demand!$E$2:$E$18)*$B23</f>
        <v>352.8</v>
      </c>
      <c r="W23" s="16">
        <f>_xlfn.XLOOKUP(W$1,demand!$A$2:$A$18,demand!$E$2:$E$18)*$B23</f>
        <v>189</v>
      </c>
      <c r="X23" s="16">
        <f>_xlfn.XLOOKUP(X$1,demand!$A$2:$A$18,demand!$E$2:$E$18)*$B23</f>
        <v>136.5</v>
      </c>
    </row>
    <row r="24" spans="1:24" x14ac:dyDescent="0.25">
      <c r="A24" s="4" t="s">
        <v>180</v>
      </c>
      <c r="B24" s="4">
        <v>2200</v>
      </c>
      <c r="C24" s="16">
        <f>_xlfn.XLOOKUP(C$1,demand!$A$2:$A$18,demand!$E$2:$E$18)*$B24</f>
        <v>41.8</v>
      </c>
      <c r="D24" s="16">
        <f>_xlfn.XLOOKUP(D$1,demand!$A$2:$A$18,demand!$E$2:$E$18)*$B24</f>
        <v>37.400000000000006</v>
      </c>
      <c r="E24" s="16">
        <f>_xlfn.XLOOKUP(E$1,demand!$A$2:$A$18,demand!$E$2:$E$18)*$B24</f>
        <v>70.400000000000006</v>
      </c>
      <c r="F24" s="16">
        <f>_xlfn.XLOOKUP(F$1,demand!$A$2:$A$18,demand!$E$2:$E$18)*$B24</f>
        <v>28.6</v>
      </c>
      <c r="G24" s="16">
        <f>_xlfn.XLOOKUP(G$1,demand!$A$2:$A$18,demand!$E$2:$E$18)*$B24</f>
        <v>28.6</v>
      </c>
      <c r="H24" s="16">
        <f>_xlfn.XLOOKUP(H$1,demand!$A$2:$A$18,demand!$E$2:$E$18)*$B24</f>
        <v>41.8</v>
      </c>
      <c r="I24" s="16">
        <f>_xlfn.XLOOKUP(I$1,demand!$A$2:$A$18,demand!$E$2:$E$18)*$B24</f>
        <v>37.400000000000006</v>
      </c>
      <c r="J24" s="16">
        <f>_xlfn.XLOOKUP(J$1,demand!$A$2:$A$18,demand!$E$2:$E$18)*$B24</f>
        <v>70.400000000000006</v>
      </c>
      <c r="K24" s="16">
        <f>_xlfn.XLOOKUP(K$1,demand!$A$2:$A$18,demand!$E$2:$E$18)*$B24</f>
        <v>28.6</v>
      </c>
      <c r="L24" s="16">
        <f>_xlfn.XLOOKUP(L$1,demand!$A$2:$A$18,demand!$E$2:$E$18)*$B24</f>
        <v>28.6</v>
      </c>
      <c r="M24" s="16">
        <f>_xlfn.XLOOKUP(M$1,demand!$A$2:$A$18,demand!$E$2:$E$18)*$B24</f>
        <v>52.800000000000004</v>
      </c>
      <c r="N24" s="16">
        <f>_xlfn.XLOOKUP(N$1,demand!$A$2:$A$18,demand!$E$2:$E$18)*$B24</f>
        <v>48.400000000000006</v>
      </c>
      <c r="O24" s="16">
        <f>_xlfn.XLOOKUP(O$1,demand!$A$2:$A$18,demand!$E$2:$E$18)*$B24</f>
        <v>66</v>
      </c>
      <c r="P24" s="16">
        <f>_xlfn.XLOOKUP(P$1,demand!$A$2:$A$18,demand!$E$2:$E$18)*$B24</f>
        <v>68.2</v>
      </c>
      <c r="Q24" s="16">
        <f>_xlfn.XLOOKUP(Q$1,demand!$A$2:$A$18,demand!$E$2:$E$18)*$B24</f>
        <v>74.800000000000011</v>
      </c>
      <c r="R24" s="16">
        <f>_xlfn.XLOOKUP(R$1,demand!$A$2:$A$18,demand!$E$2:$E$18)*$B24</f>
        <v>294.8</v>
      </c>
      <c r="S24" s="16">
        <f>_xlfn.XLOOKUP(S$1,demand!$A$2:$A$18,demand!$E$2:$E$18)*$B24</f>
        <v>215.6</v>
      </c>
      <c r="T24" s="16">
        <f>_xlfn.XLOOKUP(T$1,demand!$A$2:$A$18,demand!$E$2:$E$18)*$B24</f>
        <v>352</v>
      </c>
      <c r="U24" s="16">
        <f>_xlfn.XLOOKUP(U$1,demand!$A$2:$A$18,demand!$E$2:$E$18)*$B24</f>
        <v>110</v>
      </c>
      <c r="V24" s="16">
        <f>_xlfn.XLOOKUP(V$1,demand!$A$2:$A$18,demand!$E$2:$E$18)*$B24</f>
        <v>369.6</v>
      </c>
      <c r="W24" s="16">
        <f>_xlfn.XLOOKUP(W$1,demand!$A$2:$A$18,demand!$E$2:$E$18)*$B24</f>
        <v>198</v>
      </c>
      <c r="X24" s="16">
        <f>_xlfn.XLOOKUP(X$1,demand!$A$2:$A$18,demand!$E$2:$E$18)*$B24</f>
        <v>143</v>
      </c>
    </row>
    <row r="25" spans="1:24" x14ac:dyDescent="0.25">
      <c r="A25" s="4" t="s">
        <v>181</v>
      </c>
      <c r="B25" s="4">
        <v>2300</v>
      </c>
      <c r="C25" s="16">
        <f>_xlfn.XLOOKUP(C$1,demand!$A$2:$A$18,demand!$E$2:$E$18)*$B25</f>
        <v>43.699999999999996</v>
      </c>
      <c r="D25" s="16">
        <f>_xlfn.XLOOKUP(D$1,demand!$A$2:$A$18,demand!$E$2:$E$18)*$B25</f>
        <v>39.1</v>
      </c>
      <c r="E25" s="16">
        <f>_xlfn.XLOOKUP(E$1,demand!$A$2:$A$18,demand!$E$2:$E$18)*$B25</f>
        <v>73.600000000000009</v>
      </c>
      <c r="F25" s="16">
        <f>_xlfn.XLOOKUP(F$1,demand!$A$2:$A$18,demand!$E$2:$E$18)*$B25</f>
        <v>29.900000000000002</v>
      </c>
      <c r="G25" s="16">
        <f>_xlfn.XLOOKUP(G$1,demand!$A$2:$A$18,demand!$E$2:$E$18)*$B25</f>
        <v>29.900000000000002</v>
      </c>
      <c r="H25" s="16">
        <f>_xlfn.XLOOKUP(H$1,demand!$A$2:$A$18,demand!$E$2:$E$18)*$B25</f>
        <v>43.699999999999996</v>
      </c>
      <c r="I25" s="16">
        <f>_xlfn.XLOOKUP(I$1,demand!$A$2:$A$18,demand!$E$2:$E$18)*$B25</f>
        <v>39.1</v>
      </c>
      <c r="J25" s="16">
        <f>_xlfn.XLOOKUP(J$1,demand!$A$2:$A$18,demand!$E$2:$E$18)*$B25</f>
        <v>73.600000000000009</v>
      </c>
      <c r="K25" s="16">
        <f>_xlfn.XLOOKUP(K$1,demand!$A$2:$A$18,demand!$E$2:$E$18)*$B25</f>
        <v>29.900000000000002</v>
      </c>
      <c r="L25" s="16">
        <f>_xlfn.XLOOKUP(L$1,demand!$A$2:$A$18,demand!$E$2:$E$18)*$B25</f>
        <v>29.900000000000002</v>
      </c>
      <c r="M25" s="16">
        <f>_xlfn.XLOOKUP(M$1,demand!$A$2:$A$18,demand!$E$2:$E$18)*$B25</f>
        <v>55.2</v>
      </c>
      <c r="N25" s="16">
        <f>_xlfn.XLOOKUP(N$1,demand!$A$2:$A$18,demand!$E$2:$E$18)*$B25</f>
        <v>50.600000000000009</v>
      </c>
      <c r="O25" s="16">
        <f>_xlfn.XLOOKUP(O$1,demand!$A$2:$A$18,demand!$E$2:$E$18)*$B25</f>
        <v>69</v>
      </c>
      <c r="P25" s="16">
        <f>_xlfn.XLOOKUP(P$1,demand!$A$2:$A$18,demand!$E$2:$E$18)*$B25</f>
        <v>71.3</v>
      </c>
      <c r="Q25" s="16">
        <f>_xlfn.XLOOKUP(Q$1,demand!$A$2:$A$18,demand!$E$2:$E$18)*$B25</f>
        <v>78.2</v>
      </c>
      <c r="R25" s="16">
        <f>_xlfn.XLOOKUP(R$1,demand!$A$2:$A$18,demand!$E$2:$E$18)*$B25</f>
        <v>308.20000000000005</v>
      </c>
      <c r="S25" s="16">
        <f>_xlfn.XLOOKUP(S$1,demand!$A$2:$A$18,demand!$E$2:$E$18)*$B25</f>
        <v>225.4</v>
      </c>
      <c r="T25" s="16">
        <f>_xlfn.XLOOKUP(T$1,demand!$A$2:$A$18,demand!$E$2:$E$18)*$B25</f>
        <v>368</v>
      </c>
      <c r="U25" s="16">
        <f>_xlfn.XLOOKUP(U$1,demand!$A$2:$A$18,demand!$E$2:$E$18)*$B25</f>
        <v>115</v>
      </c>
      <c r="V25" s="16">
        <f>_xlfn.XLOOKUP(V$1,demand!$A$2:$A$18,demand!$E$2:$E$18)*$B25</f>
        <v>386.40000000000003</v>
      </c>
      <c r="W25" s="16">
        <f>_xlfn.XLOOKUP(W$1,demand!$A$2:$A$18,demand!$E$2:$E$18)*$B25</f>
        <v>207</v>
      </c>
      <c r="X25" s="16">
        <f>_xlfn.XLOOKUP(X$1,demand!$A$2:$A$18,demand!$E$2:$E$18)*$B25</f>
        <v>149.5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W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24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v>7000</v>
      </c>
      <c r="C2" s="16">
        <v>7000</v>
      </c>
      <c r="D2" s="16">
        <v>7000</v>
      </c>
      <c r="E2" s="16">
        <v>7000</v>
      </c>
      <c r="F2" s="16">
        <v>7000</v>
      </c>
      <c r="G2" s="16">
        <v>7000</v>
      </c>
      <c r="H2" s="16">
        <v>7000</v>
      </c>
      <c r="I2" s="16">
        <v>7000</v>
      </c>
      <c r="J2" s="16">
        <v>7000</v>
      </c>
      <c r="K2" s="16">
        <v>7000</v>
      </c>
      <c r="L2" s="16">
        <v>7000</v>
      </c>
      <c r="M2" s="16">
        <v>7000</v>
      </c>
      <c r="N2" s="16">
        <v>7000</v>
      </c>
      <c r="O2" s="16">
        <v>7000</v>
      </c>
      <c r="P2" s="16">
        <v>7000</v>
      </c>
      <c r="Q2" s="16">
        <v>7000</v>
      </c>
      <c r="R2" s="16">
        <v>7000</v>
      </c>
      <c r="S2" s="16">
        <v>7000</v>
      </c>
      <c r="T2" s="16">
        <v>7000</v>
      </c>
      <c r="U2" s="16">
        <v>7000</v>
      </c>
      <c r="V2" s="16">
        <v>7000</v>
      </c>
      <c r="W2" s="16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34"/>
  <sheetViews>
    <sheetView zoomScaleNormal="100" workbookViewId="0">
      <selection activeCell="L13" sqref="L13"/>
    </sheetView>
  </sheetViews>
  <sheetFormatPr defaultColWidth="8.7109375" defaultRowHeight="15" x14ac:dyDescent="0.25"/>
  <cols>
    <col min="1" max="1" width="10.28515625" bestFit="1" customWidth="1"/>
    <col min="2" max="2" width="18.5703125" bestFit="1" customWidth="1"/>
    <col min="3" max="3" width="16.140625" bestFit="1" customWidth="1"/>
    <col min="4" max="4" width="8.5703125" bestFit="1" customWidth="1"/>
    <col min="5" max="7" width="9.5703125" customWidth="1"/>
    <col min="8" max="8" width="20" bestFit="1" customWidth="1"/>
    <col min="9" max="9" width="19.7109375" bestFit="1" customWidth="1"/>
    <col min="10" max="1019" width="8.42578125" customWidth="1"/>
  </cols>
  <sheetData>
    <row r="1" spans="1:9" x14ac:dyDescent="0.25">
      <c r="A1" s="1" t="s">
        <v>0</v>
      </c>
      <c r="B1" s="1" t="s">
        <v>9</v>
      </c>
      <c r="C1" s="1" t="s">
        <v>10</v>
      </c>
      <c r="D1" s="1" t="s">
        <v>6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37</v>
      </c>
    </row>
    <row r="2" spans="1:9" x14ac:dyDescent="0.25">
      <c r="A2" s="3" t="s">
        <v>93</v>
      </c>
      <c r="B2" s="3">
        <v>1</v>
      </c>
      <c r="C2" s="3">
        <v>2</v>
      </c>
      <c r="D2" s="3">
        <v>1</v>
      </c>
      <c r="E2" s="3"/>
      <c r="F2" s="3">
        <v>1.46E-2</v>
      </c>
      <c r="G2" s="3"/>
      <c r="H2" s="15">
        <v>200</v>
      </c>
      <c r="I2" s="29">
        <v>250</v>
      </c>
    </row>
    <row r="3" spans="1:9" x14ac:dyDescent="0.25">
      <c r="A3" s="3" t="s">
        <v>94</v>
      </c>
      <c r="B3" s="3">
        <v>1</v>
      </c>
      <c r="C3" s="3">
        <v>3</v>
      </c>
      <c r="D3" s="3">
        <v>1</v>
      </c>
      <c r="E3" s="3"/>
      <c r="F3" s="3">
        <v>0.2253</v>
      </c>
      <c r="G3" s="3"/>
      <c r="H3" s="15">
        <v>220</v>
      </c>
      <c r="I3" s="29">
        <v>250</v>
      </c>
    </row>
    <row r="4" spans="1:9" x14ac:dyDescent="0.25">
      <c r="A4" s="3" t="s">
        <v>95</v>
      </c>
      <c r="B4" s="3">
        <v>1</v>
      </c>
      <c r="C4" s="3">
        <v>5</v>
      </c>
      <c r="D4" s="3">
        <v>1</v>
      </c>
      <c r="E4" s="3"/>
      <c r="F4" s="3">
        <v>9.0700000000000003E-2</v>
      </c>
      <c r="G4" s="3"/>
      <c r="H4" s="15">
        <v>220</v>
      </c>
      <c r="I4" s="29">
        <v>250</v>
      </c>
    </row>
    <row r="5" spans="1:9" x14ac:dyDescent="0.25">
      <c r="A5" s="3" t="s">
        <v>96</v>
      </c>
      <c r="B5" s="3">
        <v>2</v>
      </c>
      <c r="C5" s="3">
        <v>4</v>
      </c>
      <c r="D5" s="3">
        <v>1</v>
      </c>
      <c r="E5" s="3"/>
      <c r="F5" s="3">
        <v>0.1356</v>
      </c>
      <c r="G5" s="3"/>
      <c r="H5" s="15">
        <v>220</v>
      </c>
      <c r="I5" s="29">
        <v>250</v>
      </c>
    </row>
    <row r="6" spans="1:9" x14ac:dyDescent="0.25">
      <c r="A6" s="3" t="s">
        <v>97</v>
      </c>
      <c r="B6" s="3">
        <v>2</v>
      </c>
      <c r="C6" s="3">
        <v>6</v>
      </c>
      <c r="D6" s="3">
        <v>1</v>
      </c>
      <c r="E6" s="3"/>
      <c r="F6" s="3">
        <v>0.20499999999999999</v>
      </c>
      <c r="G6" s="3"/>
      <c r="H6" s="15">
        <v>220</v>
      </c>
      <c r="I6" s="29">
        <v>250</v>
      </c>
    </row>
    <row r="7" spans="1:9" x14ac:dyDescent="0.25">
      <c r="A7" s="3" t="s">
        <v>98</v>
      </c>
      <c r="B7" s="3">
        <v>3</v>
      </c>
      <c r="C7" s="3">
        <v>9</v>
      </c>
      <c r="D7" s="3">
        <v>1</v>
      </c>
      <c r="E7" s="3"/>
      <c r="F7" s="3">
        <v>0.12709999999999999</v>
      </c>
      <c r="G7" s="3"/>
      <c r="H7" s="15">
        <v>220</v>
      </c>
      <c r="I7" s="29">
        <v>250</v>
      </c>
    </row>
    <row r="8" spans="1:9" x14ac:dyDescent="0.25">
      <c r="A8" s="3" t="s">
        <v>99</v>
      </c>
      <c r="B8" s="3">
        <v>4</v>
      </c>
      <c r="C8" s="3">
        <v>9</v>
      </c>
      <c r="D8" s="3">
        <v>1</v>
      </c>
      <c r="E8" s="3"/>
      <c r="F8" s="3">
        <v>0.111</v>
      </c>
      <c r="G8" s="3"/>
      <c r="H8" s="15">
        <v>220</v>
      </c>
      <c r="I8" s="24">
        <v>250</v>
      </c>
    </row>
    <row r="9" spans="1:9" x14ac:dyDescent="0.25">
      <c r="A9" s="3" t="s">
        <v>100</v>
      </c>
      <c r="B9" s="3">
        <v>5</v>
      </c>
      <c r="C9" s="3">
        <v>10</v>
      </c>
      <c r="D9" s="3">
        <v>1</v>
      </c>
      <c r="E9" s="3"/>
      <c r="F9" s="3">
        <v>9.4E-2</v>
      </c>
      <c r="G9" s="3"/>
      <c r="H9" s="15">
        <v>220</v>
      </c>
      <c r="I9" s="29">
        <v>250</v>
      </c>
    </row>
    <row r="10" spans="1:9" x14ac:dyDescent="0.25">
      <c r="A10" s="3" t="s">
        <v>101</v>
      </c>
      <c r="B10" s="3">
        <v>6</v>
      </c>
      <c r="C10" s="3">
        <v>10</v>
      </c>
      <c r="D10" s="3">
        <v>1</v>
      </c>
      <c r="E10" s="3"/>
      <c r="F10" s="3">
        <v>6.4199999999999993E-2</v>
      </c>
      <c r="G10" s="3"/>
      <c r="H10" s="15">
        <v>200</v>
      </c>
      <c r="I10" s="24">
        <v>250</v>
      </c>
    </row>
    <row r="11" spans="1:9" x14ac:dyDescent="0.25">
      <c r="A11" s="3" t="s">
        <v>102</v>
      </c>
      <c r="B11" s="3">
        <v>7</v>
      </c>
      <c r="C11" s="3">
        <v>8</v>
      </c>
      <c r="D11" s="3">
        <v>1</v>
      </c>
      <c r="E11" s="3"/>
      <c r="F11" s="3">
        <v>6.5199999999999994E-2</v>
      </c>
      <c r="G11" s="3"/>
      <c r="H11" s="15">
        <v>220</v>
      </c>
      <c r="I11" s="23">
        <v>100</v>
      </c>
    </row>
    <row r="12" spans="1:9" x14ac:dyDescent="0.25">
      <c r="A12" s="3" t="s">
        <v>103</v>
      </c>
      <c r="B12" s="3">
        <v>8</v>
      </c>
      <c r="C12" s="3">
        <v>9</v>
      </c>
      <c r="D12" s="3">
        <v>1</v>
      </c>
      <c r="E12" s="3"/>
      <c r="F12" s="3">
        <v>0.1762</v>
      </c>
      <c r="G12" s="3"/>
      <c r="H12" s="15">
        <v>220</v>
      </c>
      <c r="I12" s="24">
        <v>250</v>
      </c>
    </row>
    <row r="13" spans="1:9" x14ac:dyDescent="0.25">
      <c r="A13" s="3" t="s">
        <v>104</v>
      </c>
      <c r="B13" s="3">
        <v>8</v>
      </c>
      <c r="C13" s="3">
        <v>10</v>
      </c>
      <c r="D13" s="3">
        <v>1</v>
      </c>
      <c r="E13" s="3"/>
      <c r="F13" s="3">
        <v>0.1762</v>
      </c>
      <c r="G13" s="3"/>
      <c r="H13" s="15">
        <v>220</v>
      </c>
      <c r="I13" s="24">
        <v>250</v>
      </c>
    </row>
    <row r="14" spans="1:9" x14ac:dyDescent="0.25">
      <c r="A14" s="3" t="s">
        <v>105</v>
      </c>
      <c r="B14" s="3">
        <v>11</v>
      </c>
      <c r="C14" s="3">
        <v>13</v>
      </c>
      <c r="D14" s="3">
        <v>1</v>
      </c>
      <c r="E14" s="3"/>
      <c r="F14" s="3">
        <v>4.8800000000000003E-2</v>
      </c>
      <c r="G14" s="3"/>
      <c r="H14" s="15">
        <v>625</v>
      </c>
      <c r="I14" s="30">
        <v>500</v>
      </c>
    </row>
    <row r="15" spans="1:9" x14ac:dyDescent="0.25">
      <c r="A15" s="3" t="s">
        <v>106</v>
      </c>
      <c r="B15" s="3">
        <v>11</v>
      </c>
      <c r="C15" s="3">
        <v>14</v>
      </c>
      <c r="D15" s="3">
        <v>1</v>
      </c>
      <c r="E15" s="3"/>
      <c r="F15" s="3">
        <v>4.2599999999999999E-2</v>
      </c>
      <c r="G15" s="3"/>
      <c r="H15" s="15">
        <v>625</v>
      </c>
      <c r="I15" s="30">
        <v>500</v>
      </c>
    </row>
    <row r="16" spans="1:9" x14ac:dyDescent="0.25">
      <c r="A16" s="3" t="s">
        <v>107</v>
      </c>
      <c r="B16" s="3">
        <v>12</v>
      </c>
      <c r="C16" s="3">
        <v>13</v>
      </c>
      <c r="D16" s="3">
        <v>1</v>
      </c>
      <c r="E16" s="3"/>
      <c r="F16" s="3">
        <v>4.8800000000000003E-2</v>
      </c>
      <c r="G16" s="3"/>
      <c r="H16" s="15">
        <v>625</v>
      </c>
      <c r="I16" s="30">
        <v>500</v>
      </c>
    </row>
    <row r="17" spans="1:9" x14ac:dyDescent="0.25">
      <c r="A17" s="3" t="s">
        <v>108</v>
      </c>
      <c r="B17" s="3">
        <v>12</v>
      </c>
      <c r="C17" s="3">
        <v>23</v>
      </c>
      <c r="D17" s="3">
        <v>1</v>
      </c>
      <c r="E17" s="3"/>
      <c r="F17" s="3">
        <v>9.8500000000000004E-2</v>
      </c>
      <c r="G17" s="3"/>
      <c r="H17" s="15">
        <v>625</v>
      </c>
      <c r="I17" s="30">
        <v>500</v>
      </c>
    </row>
    <row r="18" spans="1:9" x14ac:dyDescent="0.25">
      <c r="A18" s="3" t="s">
        <v>109</v>
      </c>
      <c r="B18" s="3">
        <v>13</v>
      </c>
      <c r="C18" s="3">
        <v>23</v>
      </c>
      <c r="D18" s="3">
        <v>1</v>
      </c>
      <c r="E18" s="3"/>
      <c r="F18" s="3">
        <v>8.8400000000000006E-2</v>
      </c>
      <c r="G18" s="3"/>
      <c r="H18" s="15">
        <v>625</v>
      </c>
      <c r="I18" s="30">
        <v>500</v>
      </c>
    </row>
    <row r="19" spans="1:9" x14ac:dyDescent="0.25">
      <c r="A19" s="3" t="s">
        <v>110</v>
      </c>
      <c r="B19" s="3">
        <v>14</v>
      </c>
      <c r="C19" s="3">
        <v>16</v>
      </c>
      <c r="D19" s="3">
        <v>1</v>
      </c>
      <c r="E19" s="3"/>
      <c r="F19" s="3">
        <v>5.9400000000000001E-2</v>
      </c>
      <c r="G19" s="3"/>
      <c r="H19" s="15">
        <v>625</v>
      </c>
      <c r="I19" s="30">
        <v>500</v>
      </c>
    </row>
    <row r="20" spans="1:9" x14ac:dyDescent="0.25">
      <c r="A20" s="3" t="s">
        <v>111</v>
      </c>
      <c r="B20" s="3">
        <v>15</v>
      </c>
      <c r="C20" s="3">
        <v>16</v>
      </c>
      <c r="D20" s="3">
        <v>1</v>
      </c>
      <c r="E20" s="3"/>
      <c r="F20" s="3">
        <v>1.72E-2</v>
      </c>
      <c r="G20" s="3"/>
      <c r="H20" s="15">
        <v>625</v>
      </c>
      <c r="I20" s="30">
        <v>500</v>
      </c>
    </row>
    <row r="21" spans="1:9" x14ac:dyDescent="0.25">
      <c r="A21" s="3" t="s">
        <v>112</v>
      </c>
      <c r="B21" s="3">
        <v>15</v>
      </c>
      <c r="C21" s="3">
        <v>21</v>
      </c>
      <c r="D21" s="3">
        <v>1</v>
      </c>
      <c r="E21" s="3"/>
      <c r="F21" s="3">
        <v>2.4899999999999999E-2</v>
      </c>
      <c r="G21" s="3"/>
      <c r="H21" s="15">
        <v>625</v>
      </c>
      <c r="I21" s="30">
        <v>500</v>
      </c>
    </row>
    <row r="22" spans="1:9" x14ac:dyDescent="0.25">
      <c r="A22" s="3" t="s">
        <v>113</v>
      </c>
      <c r="B22" s="3">
        <v>15</v>
      </c>
      <c r="C22" s="3">
        <v>21</v>
      </c>
      <c r="D22" s="3">
        <v>1</v>
      </c>
      <c r="E22" s="3"/>
      <c r="F22" s="3">
        <v>2.4899999999999999E-2</v>
      </c>
      <c r="G22" s="3"/>
      <c r="H22" s="15">
        <v>625</v>
      </c>
      <c r="I22" s="30">
        <v>500</v>
      </c>
    </row>
    <row r="23" spans="1:9" x14ac:dyDescent="0.25">
      <c r="A23" s="3" t="s">
        <v>114</v>
      </c>
      <c r="B23" s="3">
        <v>15</v>
      </c>
      <c r="C23" s="3">
        <v>24</v>
      </c>
      <c r="D23" s="3">
        <v>1</v>
      </c>
      <c r="E23" s="3"/>
      <c r="F23" s="3">
        <v>5.2900000000000003E-2</v>
      </c>
      <c r="G23" s="3"/>
      <c r="H23" s="15">
        <v>625</v>
      </c>
      <c r="I23" s="30">
        <v>500</v>
      </c>
    </row>
    <row r="24" spans="1:9" x14ac:dyDescent="0.25">
      <c r="A24" s="3" t="s">
        <v>115</v>
      </c>
      <c r="B24" s="3">
        <v>16</v>
      </c>
      <c r="C24" s="3">
        <v>17</v>
      </c>
      <c r="D24" s="3">
        <v>1</v>
      </c>
      <c r="E24" s="3"/>
      <c r="F24" s="3">
        <v>2.63E-2</v>
      </c>
      <c r="G24" s="3"/>
      <c r="H24" s="15">
        <v>625</v>
      </c>
      <c r="I24" s="30">
        <v>500</v>
      </c>
    </row>
    <row r="25" spans="1:9" x14ac:dyDescent="0.25">
      <c r="A25" s="3" t="s">
        <v>116</v>
      </c>
      <c r="B25" s="3">
        <v>16</v>
      </c>
      <c r="C25" s="3">
        <v>19</v>
      </c>
      <c r="D25" s="3">
        <v>1</v>
      </c>
      <c r="E25" s="3"/>
      <c r="F25" s="3">
        <v>2.3400000000000001E-2</v>
      </c>
      <c r="G25" s="3"/>
      <c r="H25" s="15">
        <v>625</v>
      </c>
      <c r="I25" s="30">
        <v>500</v>
      </c>
    </row>
    <row r="26" spans="1:9" x14ac:dyDescent="0.25">
      <c r="A26" s="3" t="s">
        <v>117</v>
      </c>
      <c r="B26" s="3">
        <v>17</v>
      </c>
      <c r="C26" s="3">
        <v>18</v>
      </c>
      <c r="D26" s="3">
        <v>1</v>
      </c>
      <c r="E26" s="3"/>
      <c r="F26" s="3">
        <v>1.43E-2</v>
      </c>
      <c r="G26" s="3"/>
      <c r="H26" s="15">
        <v>625</v>
      </c>
      <c r="I26" s="30">
        <v>500</v>
      </c>
    </row>
    <row r="27" spans="1:9" x14ac:dyDescent="0.25">
      <c r="A27" s="3" t="s">
        <v>118</v>
      </c>
      <c r="B27" s="3">
        <v>17</v>
      </c>
      <c r="C27" s="3">
        <v>22</v>
      </c>
      <c r="D27" s="3">
        <v>1</v>
      </c>
      <c r="E27" s="3"/>
      <c r="F27" s="3">
        <v>0.1069</v>
      </c>
      <c r="G27" s="3"/>
      <c r="H27" s="15">
        <v>625</v>
      </c>
      <c r="I27" s="30">
        <v>500</v>
      </c>
    </row>
    <row r="28" spans="1:9" x14ac:dyDescent="0.25">
      <c r="A28" s="3" t="s">
        <v>119</v>
      </c>
      <c r="B28" s="3">
        <v>18</v>
      </c>
      <c r="C28" s="3">
        <v>21</v>
      </c>
      <c r="D28" s="3">
        <v>1</v>
      </c>
      <c r="E28" s="3"/>
      <c r="F28" s="3">
        <v>1.32E-2</v>
      </c>
      <c r="G28" s="3"/>
      <c r="H28" s="15">
        <v>625</v>
      </c>
      <c r="I28" s="30">
        <v>500</v>
      </c>
    </row>
    <row r="29" spans="1:9" x14ac:dyDescent="0.25">
      <c r="A29" s="3" t="s">
        <v>120</v>
      </c>
      <c r="B29" s="3">
        <v>18</v>
      </c>
      <c r="C29" s="3">
        <v>21</v>
      </c>
      <c r="D29" s="3">
        <v>1</v>
      </c>
      <c r="E29" s="3"/>
      <c r="F29" s="3">
        <v>1.32E-2</v>
      </c>
      <c r="G29" s="3"/>
      <c r="H29" s="15">
        <v>625</v>
      </c>
      <c r="I29" s="30">
        <v>500</v>
      </c>
    </row>
    <row r="30" spans="1:9" x14ac:dyDescent="0.25">
      <c r="A30" s="3" t="s">
        <v>121</v>
      </c>
      <c r="B30" s="3">
        <v>19</v>
      </c>
      <c r="C30" s="3">
        <v>20</v>
      </c>
      <c r="D30" s="3">
        <v>1</v>
      </c>
      <c r="E30" s="3"/>
      <c r="F30" s="3">
        <v>2.0299999999999999E-2</v>
      </c>
      <c r="G30" s="3"/>
      <c r="H30" s="15">
        <v>625</v>
      </c>
      <c r="I30" s="30">
        <v>500</v>
      </c>
    </row>
    <row r="31" spans="1:9" x14ac:dyDescent="0.25">
      <c r="A31" s="3" t="s">
        <v>122</v>
      </c>
      <c r="B31" s="3">
        <v>19</v>
      </c>
      <c r="C31" s="3">
        <v>20</v>
      </c>
      <c r="D31" s="3">
        <v>1</v>
      </c>
      <c r="E31" s="3"/>
      <c r="F31" s="3">
        <v>2.0299999999999999E-2</v>
      </c>
      <c r="G31" s="3"/>
      <c r="H31" s="15">
        <v>625</v>
      </c>
      <c r="I31" s="30">
        <v>500</v>
      </c>
    </row>
    <row r="32" spans="1:9" x14ac:dyDescent="0.25">
      <c r="A32" s="3" t="s">
        <v>123</v>
      </c>
      <c r="B32" s="3">
        <v>20</v>
      </c>
      <c r="C32" s="3">
        <v>23</v>
      </c>
      <c r="D32" s="3">
        <v>1</v>
      </c>
      <c r="E32" s="3"/>
      <c r="F32" s="3">
        <v>1.12E-2</v>
      </c>
      <c r="G32" s="3"/>
      <c r="H32" s="15">
        <v>625</v>
      </c>
      <c r="I32" s="30">
        <v>500</v>
      </c>
    </row>
    <row r="33" spans="1:9" x14ac:dyDescent="0.25">
      <c r="A33" s="3" t="s">
        <v>124</v>
      </c>
      <c r="B33" s="3">
        <v>20</v>
      </c>
      <c r="C33" s="3">
        <v>23</v>
      </c>
      <c r="D33" s="3">
        <v>1</v>
      </c>
      <c r="E33" s="3"/>
      <c r="F33" s="3">
        <v>1.12E-2</v>
      </c>
      <c r="G33" s="3"/>
      <c r="H33" s="15">
        <v>625</v>
      </c>
      <c r="I33" s="30">
        <v>500</v>
      </c>
    </row>
    <row r="34" spans="1:9" x14ac:dyDescent="0.25">
      <c r="A34" s="3" t="s">
        <v>125</v>
      </c>
      <c r="B34" s="3">
        <v>21</v>
      </c>
      <c r="C34" s="3">
        <v>22</v>
      </c>
      <c r="D34" s="3">
        <v>1</v>
      </c>
      <c r="E34" s="3"/>
      <c r="F34" s="3">
        <v>6.9199999999999998E-2</v>
      </c>
      <c r="G34" s="3"/>
      <c r="H34" s="15">
        <v>625</v>
      </c>
      <c r="I34" s="30">
        <v>500</v>
      </c>
    </row>
  </sheetData>
  <autoFilter ref="A1:I2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AH2"/>
  <sheetViews>
    <sheetView topLeftCell="D1" zoomScale="110" zoomScaleNormal="110" workbookViewId="0">
      <selection activeCell="L11" sqref="L11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34" x14ac:dyDescent="0.25">
      <c r="A1" s="2" t="s">
        <v>27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</row>
    <row r="2" spans="1:34" x14ac:dyDescent="0.25">
      <c r="A2" s="4" t="s">
        <v>28</v>
      </c>
      <c r="B2" s="15">
        <f>_xlfn.XLOOKUP(B$1,branch!$A$2:$A$34,branch!$I$2:$I$34)</f>
        <v>250</v>
      </c>
      <c r="C2" s="15">
        <f>_xlfn.XLOOKUP(C$1,branch!$A$2:$A$34,branch!$I$2:$I$34)</f>
        <v>250</v>
      </c>
      <c r="D2" s="15">
        <f>_xlfn.XLOOKUP(D$1,branch!$A$2:$A$34,branch!$I$2:$I$34)</f>
        <v>250</v>
      </c>
      <c r="E2" s="15">
        <f>_xlfn.XLOOKUP(E$1,branch!$A$2:$A$34,branch!$I$2:$I$34)</f>
        <v>250</v>
      </c>
      <c r="F2" s="15">
        <f>_xlfn.XLOOKUP(F$1,branch!$A$2:$A$34,branch!$I$2:$I$34)</f>
        <v>250</v>
      </c>
      <c r="G2" s="15">
        <f>_xlfn.XLOOKUP(G$1,branch!$A$2:$A$34,branch!$I$2:$I$34)</f>
        <v>250</v>
      </c>
      <c r="H2" s="15">
        <f>_xlfn.XLOOKUP(H$1,branch!$A$2:$A$34,branch!$I$2:$I$34)</f>
        <v>250</v>
      </c>
      <c r="I2" s="15">
        <f>_xlfn.XLOOKUP(I$1,branch!$A$2:$A$34,branch!$I$2:$I$34)</f>
        <v>250</v>
      </c>
      <c r="J2" s="15">
        <f>_xlfn.XLOOKUP(J$1,branch!$A$2:$A$34,branch!$I$2:$I$34)</f>
        <v>250</v>
      </c>
      <c r="K2" s="15">
        <f>_xlfn.XLOOKUP(K$1,branch!$A$2:$A$34,branch!$I$2:$I$34)</f>
        <v>100</v>
      </c>
      <c r="L2" s="15">
        <f>_xlfn.XLOOKUP(L$1,branch!$A$2:$A$34,branch!$I$2:$I$34)</f>
        <v>250</v>
      </c>
      <c r="M2" s="15">
        <f>_xlfn.XLOOKUP(M$1,branch!$A$2:$A$34,branch!$I$2:$I$34)</f>
        <v>250</v>
      </c>
      <c r="N2" s="15">
        <f>_xlfn.XLOOKUP(N$1,branch!$A$2:$A$34,branch!$I$2:$I$34)</f>
        <v>500</v>
      </c>
      <c r="O2" s="15">
        <f>_xlfn.XLOOKUP(O$1,branch!$A$2:$A$34,branch!$I$2:$I$34)</f>
        <v>500</v>
      </c>
      <c r="P2" s="15">
        <f>_xlfn.XLOOKUP(P$1,branch!$A$2:$A$34,branch!$I$2:$I$34)</f>
        <v>500</v>
      </c>
      <c r="Q2" s="15">
        <f>_xlfn.XLOOKUP(Q$1,branch!$A$2:$A$34,branch!$I$2:$I$34)</f>
        <v>500</v>
      </c>
      <c r="R2" s="15">
        <f>_xlfn.XLOOKUP(R$1,branch!$A$2:$A$34,branch!$I$2:$I$34)</f>
        <v>500</v>
      </c>
      <c r="S2" s="15">
        <f>_xlfn.XLOOKUP(S$1,branch!$A$2:$A$34,branch!$I$2:$I$34)</f>
        <v>500</v>
      </c>
      <c r="T2" s="15">
        <f>_xlfn.XLOOKUP(T$1,branch!$A$2:$A$34,branch!$I$2:$I$34)</f>
        <v>500</v>
      </c>
      <c r="U2" s="15">
        <f>_xlfn.XLOOKUP(U$1,branch!$A$2:$A$34,branch!$I$2:$I$34)</f>
        <v>500</v>
      </c>
      <c r="V2" s="15">
        <f>_xlfn.XLOOKUP(V$1,branch!$A$2:$A$34,branch!$I$2:$I$34)</f>
        <v>500</v>
      </c>
      <c r="W2" s="15">
        <f>_xlfn.XLOOKUP(W$1,branch!$A$2:$A$34,branch!$I$2:$I$34)</f>
        <v>500</v>
      </c>
      <c r="X2" s="15">
        <f>_xlfn.XLOOKUP(X$1,branch!$A$2:$A$34,branch!$I$2:$I$34)</f>
        <v>500</v>
      </c>
      <c r="Y2" s="15">
        <f>_xlfn.XLOOKUP(Y$1,branch!$A$2:$A$34,branch!$I$2:$I$34)</f>
        <v>500</v>
      </c>
      <c r="Z2" s="15">
        <f>_xlfn.XLOOKUP(Z$1,branch!$A$2:$A$34,branch!$I$2:$I$34)</f>
        <v>500</v>
      </c>
      <c r="AA2" s="15">
        <f>_xlfn.XLOOKUP(AA$1,branch!$A$2:$A$34,branch!$I$2:$I$34)</f>
        <v>500</v>
      </c>
      <c r="AB2" s="15">
        <f>_xlfn.XLOOKUP(AB$1,branch!$A$2:$A$34,branch!$I$2:$I$34)</f>
        <v>500</v>
      </c>
      <c r="AC2" s="15">
        <f>_xlfn.XLOOKUP(AC$1,branch!$A$2:$A$34,branch!$I$2:$I$34)</f>
        <v>500</v>
      </c>
      <c r="AD2" s="15">
        <f>_xlfn.XLOOKUP(AD$1,branch!$A$2:$A$34,branch!$I$2:$I$34)</f>
        <v>500</v>
      </c>
      <c r="AE2" s="15">
        <f>_xlfn.XLOOKUP(AE$1,branch!$A$2:$A$34,branch!$I$2:$I$34)</f>
        <v>500</v>
      </c>
      <c r="AF2" s="15">
        <f>_xlfn.XLOOKUP(AF$1,branch!$A$2:$A$34,branch!$I$2:$I$34)</f>
        <v>500</v>
      </c>
      <c r="AG2" s="15">
        <f>_xlfn.XLOOKUP(AG$1,branch!$A$2:$A$34,branch!$I$2:$I$34)</f>
        <v>500</v>
      </c>
      <c r="AH2" s="15">
        <f>_xlfn.XLOOKUP(AH$1,branch!$A$2:$A$34,branch!$I$2:$I$34)</f>
        <v>500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L6"/>
  <sheetViews>
    <sheetView zoomScale="97" zoomScaleNormal="110" workbookViewId="0">
      <selection activeCell="I2" sqref="I2:I6"/>
    </sheetView>
  </sheetViews>
  <sheetFormatPr defaultColWidth="8.7109375" defaultRowHeight="15" x14ac:dyDescent="0.25"/>
  <cols>
    <col min="1" max="1" width="7.85546875" bestFit="1" customWidth="1"/>
    <col min="2" max="2" width="14.5703125" bestFit="1" customWidth="1"/>
    <col min="3" max="3" width="12" bestFit="1" customWidth="1"/>
    <col min="4" max="4" width="14.5703125" bestFit="1" customWidth="1"/>
    <col min="5" max="5" width="12" bestFit="1" customWidth="1"/>
    <col min="6" max="6" width="5" bestFit="1" customWidth="1"/>
    <col min="7" max="7" width="4.28515625" bestFit="1" customWidth="1"/>
    <col min="8" max="8" width="23.85546875" bestFit="1" customWidth="1"/>
    <col min="9" max="9" width="23.7109375" bestFit="1" customWidth="1"/>
    <col min="10" max="10" width="20.5703125" bestFit="1" customWidth="1"/>
    <col min="11" max="11" width="16.28515625" bestFit="1" customWidth="1"/>
    <col min="12" max="12" width="16.85546875" bestFit="1" customWidth="1"/>
    <col min="13" max="1015" width="8.42578125" customWidth="1"/>
  </cols>
  <sheetData>
    <row r="1" spans="1:12" x14ac:dyDescent="0.25">
      <c r="A1" s="5" t="s">
        <v>0</v>
      </c>
      <c r="B1" s="5" t="s">
        <v>9</v>
      </c>
      <c r="C1" s="5" t="s">
        <v>10</v>
      </c>
      <c r="D1" s="5" t="s">
        <v>62</v>
      </c>
      <c r="E1" s="5" t="s">
        <v>63</v>
      </c>
      <c r="F1" s="5" t="s">
        <v>2</v>
      </c>
      <c r="G1" s="5" t="s">
        <v>6</v>
      </c>
      <c r="H1" s="5" t="s">
        <v>55</v>
      </c>
      <c r="I1" s="5" t="s">
        <v>56</v>
      </c>
      <c r="J1" s="5" t="s">
        <v>57</v>
      </c>
      <c r="K1" s="5" t="s">
        <v>14</v>
      </c>
      <c r="L1" s="5" t="s">
        <v>37</v>
      </c>
    </row>
    <row r="2" spans="1:12" x14ac:dyDescent="0.25">
      <c r="A2" s="4" t="s">
        <v>126</v>
      </c>
      <c r="B2" s="4">
        <v>3</v>
      </c>
      <c r="C2" s="4">
        <v>24</v>
      </c>
      <c r="D2" s="22">
        <f>_xlfn.XLOOKUP($B2,bus!$A$2:$A$25,bus!$D$2:$D$25)</f>
        <v>1</v>
      </c>
      <c r="E2" s="22">
        <f>_xlfn.XLOOKUP($B2,bus!$A$2:$A$25,bus!$D$2:$D$25)</f>
        <v>1</v>
      </c>
      <c r="F2" s="4">
        <v>2</v>
      </c>
      <c r="G2" s="4">
        <v>1</v>
      </c>
      <c r="H2" s="3"/>
      <c r="I2" s="3">
        <v>8.4000000000000005E-2</v>
      </c>
      <c r="J2" s="23">
        <v>50</v>
      </c>
      <c r="K2" s="4"/>
      <c r="L2" s="4"/>
    </row>
    <row r="3" spans="1:12" x14ac:dyDescent="0.25">
      <c r="A3" s="4" t="s">
        <v>127</v>
      </c>
      <c r="B3" s="4">
        <v>9</v>
      </c>
      <c r="C3" s="4">
        <v>11</v>
      </c>
      <c r="D3" s="22">
        <f>_xlfn.XLOOKUP($B3,bus!$A$2:$A$25,bus!$D$2:$D$25)</f>
        <v>1</v>
      </c>
      <c r="E3" s="22">
        <f>_xlfn.XLOOKUP($B3,bus!$A$2:$A$25,bus!$D$2:$D$25)</f>
        <v>1</v>
      </c>
      <c r="F3" s="4">
        <v>1</v>
      </c>
      <c r="G3" s="4">
        <v>1</v>
      </c>
      <c r="H3" s="3"/>
      <c r="I3" s="3">
        <v>8.4000000000000005E-2</v>
      </c>
      <c r="J3" s="23">
        <v>50</v>
      </c>
      <c r="K3" s="4"/>
      <c r="L3" s="4"/>
    </row>
    <row r="4" spans="1:12" x14ac:dyDescent="0.25">
      <c r="A4" s="4" t="s">
        <v>128</v>
      </c>
      <c r="B4" s="4">
        <v>9</v>
      </c>
      <c r="C4" s="4">
        <v>12</v>
      </c>
      <c r="D4" s="22">
        <f>_xlfn.XLOOKUP($B4,bus!$A$2:$A$25,bus!$D$2:$D$25)</f>
        <v>1</v>
      </c>
      <c r="E4" s="22">
        <f>_xlfn.XLOOKUP($B4,bus!$A$2:$A$25,bus!$D$2:$D$25)</f>
        <v>1</v>
      </c>
      <c r="F4" s="4">
        <v>2</v>
      </c>
      <c r="G4" s="4">
        <v>1</v>
      </c>
      <c r="H4" s="3"/>
      <c r="I4" s="3">
        <v>8.4000000000000005E-2</v>
      </c>
      <c r="J4" s="23">
        <v>50</v>
      </c>
      <c r="K4" s="4"/>
      <c r="L4" s="4"/>
    </row>
    <row r="5" spans="1:12" x14ac:dyDescent="0.25">
      <c r="A5" s="4" t="s">
        <v>129</v>
      </c>
      <c r="B5" s="4">
        <v>10</v>
      </c>
      <c r="C5" s="4">
        <v>11</v>
      </c>
      <c r="D5" s="22">
        <f>_xlfn.XLOOKUP($B5,bus!$A$2:$A$25,bus!$D$2:$D$25)</f>
        <v>1</v>
      </c>
      <c r="E5" s="22">
        <f>_xlfn.XLOOKUP($B5,bus!$A$2:$A$25,bus!$D$2:$D$25)</f>
        <v>1</v>
      </c>
      <c r="F5" s="4">
        <v>1</v>
      </c>
      <c r="G5" s="4">
        <v>1</v>
      </c>
      <c r="H5" s="3"/>
      <c r="I5" s="3">
        <v>8.4000000000000005E-2</v>
      </c>
      <c r="J5" s="23">
        <v>50</v>
      </c>
      <c r="K5" s="4"/>
      <c r="L5" s="4"/>
    </row>
    <row r="6" spans="1:12" x14ac:dyDescent="0.25">
      <c r="A6" s="4" t="s">
        <v>130</v>
      </c>
      <c r="B6" s="4">
        <v>10</v>
      </c>
      <c r="C6" s="4">
        <v>12</v>
      </c>
      <c r="D6" s="22">
        <f>_xlfn.XLOOKUP($B6,bus!$A$2:$A$25,bus!$D$2:$D$25)</f>
        <v>1</v>
      </c>
      <c r="E6" s="22">
        <f>_xlfn.XLOOKUP($B6,bus!$A$2:$A$25,bus!$D$2:$D$25)</f>
        <v>1</v>
      </c>
      <c r="F6" s="4">
        <v>2</v>
      </c>
      <c r="G6" s="4">
        <v>1</v>
      </c>
      <c r="H6" s="3"/>
      <c r="I6" s="3">
        <v>8.4000000000000005E-2</v>
      </c>
      <c r="J6" s="23">
        <v>50</v>
      </c>
      <c r="K6" s="4"/>
      <c r="L6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1D2-A69F-4931-81A2-E6BE4D6A5F3B}">
  <sheetPr>
    <tabColor theme="9" tint="0.59999389629810485"/>
  </sheetPr>
  <dimension ref="A1:U1"/>
  <sheetViews>
    <sheetView workbookViewId="0">
      <selection activeCell="D2" sqref="D2"/>
    </sheetView>
  </sheetViews>
  <sheetFormatPr defaultRowHeight="15" x14ac:dyDescent="0.25"/>
  <cols>
    <col min="1" max="1" width="6" bestFit="1" customWidth="1"/>
    <col min="2" max="2" width="9.42578125" bestFit="1" customWidth="1"/>
    <col min="3" max="3" width="7" bestFit="1" customWidth="1"/>
    <col min="4" max="4" width="11.7109375" bestFit="1" customWidth="1"/>
    <col min="5" max="5" width="23.85546875" bestFit="1" customWidth="1"/>
    <col min="6" max="6" width="23.42578125" bestFit="1" customWidth="1"/>
    <col min="7" max="7" width="23.85546875" bestFit="1" customWidth="1"/>
    <col min="8" max="8" width="23.42578125" bestFit="1" customWidth="1"/>
    <col min="9" max="9" width="23.85546875" bestFit="1" customWidth="1"/>
    <col min="10" max="10" width="23.42578125" bestFit="1" customWidth="1"/>
    <col min="11" max="11" width="10.5703125" bestFit="1" customWidth="1"/>
    <col min="12" max="12" width="8.140625" bestFit="1" customWidth="1"/>
    <col min="13" max="13" width="12.85546875" bestFit="1" customWidth="1"/>
    <col min="14" max="14" width="5" bestFit="1" customWidth="1"/>
    <col min="15" max="15" width="4.28515625" bestFit="1" customWidth="1"/>
    <col min="16" max="18" width="20.28515625" bestFit="1" customWidth="1"/>
    <col min="19" max="19" width="15.5703125" bestFit="1" customWidth="1"/>
    <col min="20" max="20" width="13.140625" bestFit="1" customWidth="1"/>
    <col min="21" max="21" width="18" bestFit="1" customWidth="1"/>
  </cols>
  <sheetData>
    <row r="1" spans="1:21" x14ac:dyDescent="0.25">
      <c r="A1" s="20" t="s">
        <v>0</v>
      </c>
      <c r="B1" s="20" t="s">
        <v>9</v>
      </c>
      <c r="C1" s="20" t="s">
        <v>10</v>
      </c>
      <c r="D1" s="20" t="s">
        <v>70</v>
      </c>
      <c r="E1" s="20" t="s">
        <v>55</v>
      </c>
      <c r="F1" s="20" t="s">
        <v>56</v>
      </c>
      <c r="G1" s="20" t="s">
        <v>58</v>
      </c>
      <c r="H1" s="20" t="s">
        <v>59</v>
      </c>
      <c r="I1" s="20" t="s">
        <v>60</v>
      </c>
      <c r="J1" s="20" t="s">
        <v>61</v>
      </c>
      <c r="K1" s="20" t="s">
        <v>62</v>
      </c>
      <c r="L1" s="20" t="s">
        <v>63</v>
      </c>
      <c r="M1" s="20" t="s">
        <v>64</v>
      </c>
      <c r="N1" s="20" t="s">
        <v>2</v>
      </c>
      <c r="O1" s="20" t="s">
        <v>6</v>
      </c>
      <c r="P1" s="20" t="s">
        <v>57</v>
      </c>
      <c r="Q1" s="20" t="s">
        <v>65</v>
      </c>
      <c r="R1" s="20" t="s">
        <v>66</v>
      </c>
      <c r="S1" s="20" t="s">
        <v>67</v>
      </c>
      <c r="T1" s="20" t="s">
        <v>68</v>
      </c>
      <c r="U1" s="20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6" x14ac:dyDescent="0.25">
      <c r="A1" s="2" t="s">
        <v>27</v>
      </c>
      <c r="B1" s="7" t="s">
        <v>126</v>
      </c>
      <c r="C1" s="7" t="s">
        <v>127</v>
      </c>
      <c r="D1" s="7" t="s">
        <v>128</v>
      </c>
      <c r="E1" s="7" t="s">
        <v>129</v>
      </c>
      <c r="F1" s="7" t="s">
        <v>130</v>
      </c>
    </row>
    <row r="2" spans="1:6" x14ac:dyDescent="0.25">
      <c r="A2" s="4" t="s">
        <v>28</v>
      </c>
      <c r="B2" s="15">
        <f>_xlfn.XLOOKUP(B$1,transformers_2w!$A$2:$A$6,transformers_2w!$J$2:$J$6)</f>
        <v>50</v>
      </c>
      <c r="C2" s="15">
        <f>_xlfn.XLOOKUP(C$1,transformers_2w!$A$2:$A$6,transformers_2w!$J$2:$J$6)</f>
        <v>50</v>
      </c>
      <c r="D2" s="15">
        <f>_xlfn.XLOOKUP(D$1,transformers_2w!$A$2:$A$6,transformers_2w!$J$2:$J$6)</f>
        <v>50</v>
      </c>
      <c r="E2" s="15">
        <f>_xlfn.XLOOKUP(E$1,transformers_2w!$A$2:$A$6,transformers_2w!$J$2:$J$6)</f>
        <v>50</v>
      </c>
      <c r="F2" s="15">
        <f>_xlfn.XLOOKUP(F$1,transformers_2w!$A$2:$A$6,transformers_2w!$J$2:$J$6)</f>
        <v>50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T19"/>
  <sheetViews>
    <sheetView tabSelected="1" zoomScaleNormal="100" workbookViewId="0">
      <selection activeCell="K15" sqref="K15"/>
    </sheetView>
  </sheetViews>
  <sheetFormatPr defaultColWidth="8.7109375" defaultRowHeight="15" x14ac:dyDescent="0.25"/>
  <cols>
    <col min="1" max="1" width="13.28515625" bestFit="1" customWidth="1"/>
    <col min="2" max="2" width="10.28515625" customWidth="1"/>
    <col min="3" max="4" width="17.28515625" bestFit="1" customWidth="1"/>
    <col min="5" max="5" width="21.5703125" bestFit="1" customWidth="1"/>
    <col min="6" max="6" width="18" bestFit="1" customWidth="1"/>
    <col min="7" max="7" width="8.85546875" bestFit="1" customWidth="1"/>
    <col min="8" max="8" width="9.28515625" bestFit="1" customWidth="1"/>
    <col min="9" max="9" width="10.42578125" bestFit="1" customWidth="1"/>
    <col min="10" max="10" width="10.140625" bestFit="1" customWidth="1"/>
    <col min="11" max="11" width="10.140625" customWidth="1"/>
    <col min="12" max="12" width="10.42578125" bestFit="1" customWidth="1"/>
    <col min="13" max="13" width="10.140625" bestFit="1" customWidth="1"/>
    <col min="14" max="14" width="10.42578125" bestFit="1" customWidth="1"/>
    <col min="15" max="16" width="13.28515625" bestFit="1" customWidth="1"/>
    <col min="17" max="18" width="10.7109375" bestFit="1" customWidth="1"/>
    <col min="19" max="19" width="8.28515625" bestFit="1" customWidth="1"/>
    <col min="20" max="20" width="9.7109375" bestFit="1" customWidth="1"/>
    <col min="21" max="1020" width="8.42578125" customWidth="1"/>
  </cols>
  <sheetData>
    <row r="1" spans="1:20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24</v>
      </c>
      <c r="F1" s="1" t="s">
        <v>30</v>
      </c>
      <c r="G1" s="1" t="s">
        <v>6</v>
      </c>
      <c r="H1" s="1" t="s">
        <v>2</v>
      </c>
      <c r="I1" s="1" t="s">
        <v>42</v>
      </c>
      <c r="J1" s="1" t="s">
        <v>15</v>
      </c>
      <c r="K1" s="1" t="s">
        <v>43</v>
      </c>
      <c r="L1" s="1" t="s">
        <v>16</v>
      </c>
      <c r="M1" s="1" t="s">
        <v>32</v>
      </c>
      <c r="N1" s="1" t="s">
        <v>33</v>
      </c>
      <c r="O1" s="1" t="s">
        <v>18</v>
      </c>
      <c r="P1" s="1" t="s">
        <v>25</v>
      </c>
      <c r="Q1" s="1" t="s">
        <v>19</v>
      </c>
      <c r="R1" s="1" t="s">
        <v>20</v>
      </c>
      <c r="S1" s="2" t="s">
        <v>21</v>
      </c>
      <c r="T1" s="2" t="s">
        <v>17</v>
      </c>
    </row>
    <row r="2" spans="1:20" s="13" customFormat="1" x14ac:dyDescent="0.25">
      <c r="A2" s="8">
        <v>1</v>
      </c>
      <c r="B2" s="8" t="s">
        <v>77</v>
      </c>
      <c r="C2" s="9" t="s">
        <v>76</v>
      </c>
      <c r="D2" s="8"/>
      <c r="E2" s="9"/>
      <c r="F2" s="9"/>
      <c r="G2" s="9">
        <v>1</v>
      </c>
      <c r="H2" s="18">
        <v>2</v>
      </c>
      <c r="I2" s="17"/>
      <c r="J2" s="11">
        <v>30.4</v>
      </c>
      <c r="K2" s="15">
        <v>152</v>
      </c>
      <c r="L2" s="15">
        <v>152</v>
      </c>
      <c r="M2" s="11"/>
      <c r="N2" s="11"/>
      <c r="O2" s="8" t="s">
        <v>140</v>
      </c>
      <c r="P2" s="8" t="s">
        <v>26</v>
      </c>
      <c r="Q2" s="9">
        <v>13.32</v>
      </c>
      <c r="R2" s="9">
        <v>1430.4</v>
      </c>
      <c r="S2" s="12">
        <v>11</v>
      </c>
      <c r="T2" s="18">
        <f>Q2</f>
        <v>13.32</v>
      </c>
    </row>
    <row r="3" spans="1:20" s="13" customFormat="1" x14ac:dyDescent="0.25">
      <c r="A3" s="8">
        <v>2</v>
      </c>
      <c r="B3" s="8" t="s">
        <v>78</v>
      </c>
      <c r="C3" s="9" t="s">
        <v>76</v>
      </c>
      <c r="D3" s="8"/>
      <c r="E3" s="9"/>
      <c r="F3" s="9"/>
      <c r="G3" s="9">
        <v>1</v>
      </c>
      <c r="H3" s="18">
        <v>2</v>
      </c>
      <c r="I3" s="17"/>
      <c r="J3" s="11">
        <v>30.4</v>
      </c>
      <c r="K3" s="15">
        <v>152</v>
      </c>
      <c r="L3" s="15">
        <v>152</v>
      </c>
      <c r="M3" s="11"/>
      <c r="N3" s="11"/>
      <c r="O3" s="8" t="s">
        <v>140</v>
      </c>
      <c r="P3" s="8" t="s">
        <v>26</v>
      </c>
      <c r="Q3" s="9">
        <v>13.32</v>
      </c>
      <c r="R3" s="9">
        <v>1430.4</v>
      </c>
      <c r="S3" s="12">
        <v>11</v>
      </c>
      <c r="T3" s="18">
        <f t="shared" ref="T3:T13" si="0">Q3</f>
        <v>13.32</v>
      </c>
    </row>
    <row r="4" spans="1:20" s="13" customFormat="1" x14ac:dyDescent="0.25">
      <c r="A4" s="8">
        <v>7</v>
      </c>
      <c r="B4" s="8" t="s">
        <v>79</v>
      </c>
      <c r="C4" s="9" t="s">
        <v>76</v>
      </c>
      <c r="D4" s="8"/>
      <c r="E4" s="9"/>
      <c r="F4" s="9"/>
      <c r="G4" s="9">
        <v>1</v>
      </c>
      <c r="H4" s="18">
        <v>2</v>
      </c>
      <c r="I4" s="17"/>
      <c r="J4" s="11">
        <v>75</v>
      </c>
      <c r="K4" s="15">
        <v>350</v>
      </c>
      <c r="L4" s="15">
        <v>350</v>
      </c>
      <c r="M4" s="11"/>
      <c r="N4" s="11"/>
      <c r="O4" s="8" t="s">
        <v>140</v>
      </c>
      <c r="P4" s="8" t="s">
        <v>26</v>
      </c>
      <c r="Q4" s="9">
        <v>20.7</v>
      </c>
      <c r="R4" s="9">
        <v>1725</v>
      </c>
      <c r="S4" s="12">
        <v>16</v>
      </c>
      <c r="T4" s="18">
        <f t="shared" si="0"/>
        <v>20.7</v>
      </c>
    </row>
    <row r="5" spans="1:20" x14ac:dyDescent="0.25">
      <c r="A5" s="8">
        <v>13</v>
      </c>
      <c r="B5" s="8" t="s">
        <v>131</v>
      </c>
      <c r="C5" s="9" t="s">
        <v>76</v>
      </c>
      <c r="D5" s="8"/>
      <c r="E5" s="9"/>
      <c r="F5" s="9"/>
      <c r="G5" s="9">
        <v>1</v>
      </c>
      <c r="H5" s="18">
        <v>2</v>
      </c>
      <c r="I5" s="17"/>
      <c r="J5" s="11">
        <v>206.85</v>
      </c>
      <c r="K5" s="15">
        <v>591</v>
      </c>
      <c r="L5" s="15">
        <v>591</v>
      </c>
      <c r="M5" s="11"/>
      <c r="N5" s="11"/>
      <c r="O5" s="8" t="s">
        <v>140</v>
      </c>
      <c r="P5" s="8" t="s">
        <v>26</v>
      </c>
      <c r="Q5" s="9">
        <v>20.93</v>
      </c>
      <c r="R5" s="9">
        <v>3056.7</v>
      </c>
      <c r="S5" s="12">
        <v>17</v>
      </c>
      <c r="T5" s="18">
        <f t="shared" si="0"/>
        <v>20.93</v>
      </c>
    </row>
    <row r="6" spans="1:20" x14ac:dyDescent="0.25">
      <c r="A6" s="8">
        <v>15</v>
      </c>
      <c r="B6" s="8" t="s">
        <v>132</v>
      </c>
      <c r="C6" s="9" t="s">
        <v>76</v>
      </c>
      <c r="D6" s="8"/>
      <c r="E6" s="9"/>
      <c r="F6" s="9"/>
      <c r="G6" s="9">
        <v>1</v>
      </c>
      <c r="H6" s="18">
        <v>2</v>
      </c>
      <c r="I6" s="17"/>
      <c r="J6" s="11">
        <v>12</v>
      </c>
      <c r="K6" s="15">
        <v>60</v>
      </c>
      <c r="L6" s="15">
        <v>60</v>
      </c>
      <c r="M6" s="11"/>
      <c r="N6" s="11"/>
      <c r="O6" s="8" t="s">
        <v>140</v>
      </c>
      <c r="P6" s="8" t="s">
        <v>26</v>
      </c>
      <c r="Q6" s="9">
        <v>26.11</v>
      </c>
      <c r="R6" s="9">
        <v>437</v>
      </c>
      <c r="S6" s="12">
        <v>23</v>
      </c>
      <c r="T6" s="18">
        <f t="shared" si="0"/>
        <v>26.11</v>
      </c>
    </row>
    <row r="7" spans="1:20" x14ac:dyDescent="0.25">
      <c r="A7" s="8">
        <v>15</v>
      </c>
      <c r="B7" s="8" t="s">
        <v>133</v>
      </c>
      <c r="C7" s="9" t="s">
        <v>76</v>
      </c>
      <c r="D7" s="8"/>
      <c r="E7" s="9"/>
      <c r="F7" s="9"/>
      <c r="G7" s="9">
        <v>1</v>
      </c>
      <c r="H7" s="18">
        <v>2</v>
      </c>
      <c r="I7" s="17"/>
      <c r="J7" s="11">
        <v>54.25</v>
      </c>
      <c r="K7" s="15">
        <v>155</v>
      </c>
      <c r="L7" s="15">
        <v>155</v>
      </c>
      <c r="M7" s="11"/>
      <c r="N7" s="11"/>
      <c r="O7" s="8" t="s">
        <v>140</v>
      </c>
      <c r="P7" s="8" t="s">
        <v>26</v>
      </c>
      <c r="Q7" s="9">
        <v>10.52</v>
      </c>
      <c r="R7" s="9">
        <v>312</v>
      </c>
      <c r="S7" s="12">
        <v>7</v>
      </c>
      <c r="T7" s="18">
        <f t="shared" si="0"/>
        <v>10.52</v>
      </c>
    </row>
    <row r="8" spans="1:20" x14ac:dyDescent="0.25">
      <c r="A8" s="8">
        <v>16</v>
      </c>
      <c r="B8" s="8" t="s">
        <v>134</v>
      </c>
      <c r="C8" s="9" t="s">
        <v>76</v>
      </c>
      <c r="D8" s="8"/>
      <c r="E8" s="9"/>
      <c r="F8" s="9"/>
      <c r="G8" s="9">
        <v>1</v>
      </c>
      <c r="H8" s="18">
        <v>2</v>
      </c>
      <c r="I8" s="17"/>
      <c r="J8" s="11">
        <v>54.25</v>
      </c>
      <c r="K8" s="15">
        <v>155</v>
      </c>
      <c r="L8" s="15">
        <v>155</v>
      </c>
      <c r="M8" s="11"/>
      <c r="N8" s="11"/>
      <c r="O8" s="8" t="s">
        <v>140</v>
      </c>
      <c r="P8" s="8" t="s">
        <v>26</v>
      </c>
      <c r="Q8" s="9">
        <v>10.52</v>
      </c>
      <c r="R8" s="9">
        <v>312</v>
      </c>
      <c r="S8" s="12">
        <v>7</v>
      </c>
      <c r="T8" s="18">
        <f t="shared" si="0"/>
        <v>10.52</v>
      </c>
    </row>
    <row r="9" spans="1:20" x14ac:dyDescent="0.25">
      <c r="A9" s="8">
        <v>18</v>
      </c>
      <c r="B9" s="8" t="s">
        <v>135</v>
      </c>
      <c r="C9" s="9" t="s">
        <v>76</v>
      </c>
      <c r="D9" s="8"/>
      <c r="E9" s="9" t="s">
        <v>147</v>
      </c>
      <c r="F9" s="9"/>
      <c r="G9" s="9">
        <v>1</v>
      </c>
      <c r="H9" s="18">
        <v>1</v>
      </c>
      <c r="I9" s="17"/>
      <c r="J9" s="11">
        <v>100</v>
      </c>
      <c r="K9" s="15">
        <v>400</v>
      </c>
      <c r="L9" s="15">
        <v>400</v>
      </c>
      <c r="M9" s="11"/>
      <c r="N9" s="11"/>
      <c r="O9" s="8" t="s">
        <v>140</v>
      </c>
      <c r="P9" s="8" t="s">
        <v>26</v>
      </c>
      <c r="Q9" s="31">
        <v>6.02</v>
      </c>
      <c r="R9" s="9">
        <v>0</v>
      </c>
      <c r="S9" s="31">
        <v>6.02</v>
      </c>
      <c r="T9" s="32">
        <f t="shared" si="0"/>
        <v>6.02</v>
      </c>
    </row>
    <row r="10" spans="1:20" x14ac:dyDescent="0.25">
      <c r="A10" s="8">
        <v>21</v>
      </c>
      <c r="B10" s="8" t="s">
        <v>136</v>
      </c>
      <c r="C10" s="9" t="s">
        <v>76</v>
      </c>
      <c r="D10" s="8"/>
      <c r="E10" s="9" t="s">
        <v>147</v>
      </c>
      <c r="F10" s="9"/>
      <c r="G10" s="9">
        <v>1</v>
      </c>
      <c r="H10" s="18">
        <v>1</v>
      </c>
      <c r="I10" s="17"/>
      <c r="J10" s="11">
        <v>100</v>
      </c>
      <c r="K10" s="15">
        <v>400</v>
      </c>
      <c r="L10" s="15">
        <v>400</v>
      </c>
      <c r="M10" s="11"/>
      <c r="N10" s="11"/>
      <c r="O10" s="8" t="s">
        <v>140</v>
      </c>
      <c r="P10" s="8" t="s">
        <v>26</v>
      </c>
      <c r="Q10" s="31">
        <v>5.47</v>
      </c>
      <c r="R10" s="9">
        <v>0</v>
      </c>
      <c r="S10" s="31">
        <v>5.47</v>
      </c>
      <c r="T10" s="32">
        <f t="shared" si="0"/>
        <v>5.47</v>
      </c>
    </row>
    <row r="11" spans="1:20" x14ac:dyDescent="0.25">
      <c r="A11" s="8">
        <v>22</v>
      </c>
      <c r="B11" s="8" t="s">
        <v>137</v>
      </c>
      <c r="C11" s="9" t="s">
        <v>76</v>
      </c>
      <c r="D11" s="8"/>
      <c r="E11" s="9" t="s">
        <v>147</v>
      </c>
      <c r="F11" s="9"/>
      <c r="G11" s="9">
        <v>1</v>
      </c>
      <c r="H11" s="18">
        <v>1</v>
      </c>
      <c r="I11" s="17"/>
      <c r="J11" s="11">
        <v>300</v>
      </c>
      <c r="K11" s="15">
        <v>300</v>
      </c>
      <c r="L11" s="15">
        <v>300</v>
      </c>
      <c r="M11" s="11"/>
      <c r="N11" s="11"/>
      <c r="O11" s="8" t="s">
        <v>140</v>
      </c>
      <c r="P11" s="8" t="s">
        <v>26</v>
      </c>
      <c r="Q11" s="31">
        <v>5.47</v>
      </c>
      <c r="R11" s="9">
        <v>0</v>
      </c>
      <c r="S11" s="31">
        <v>5.47</v>
      </c>
      <c r="T11" s="32">
        <f t="shared" si="0"/>
        <v>5.47</v>
      </c>
    </row>
    <row r="12" spans="1:20" x14ac:dyDescent="0.25">
      <c r="A12" s="8">
        <v>23</v>
      </c>
      <c r="B12" s="8" t="s">
        <v>138</v>
      </c>
      <c r="C12" s="9" t="s">
        <v>76</v>
      </c>
      <c r="D12" s="8"/>
      <c r="E12" s="9"/>
      <c r="F12" s="9"/>
      <c r="G12" s="9">
        <v>1</v>
      </c>
      <c r="H12" s="18">
        <v>1</v>
      </c>
      <c r="I12" s="17"/>
      <c r="J12" s="11">
        <v>108.5</v>
      </c>
      <c r="K12" s="15">
        <v>310</v>
      </c>
      <c r="L12" s="15">
        <v>310</v>
      </c>
      <c r="M12" s="11"/>
      <c r="N12" s="11"/>
      <c r="O12" s="8" t="s">
        <v>140</v>
      </c>
      <c r="P12" s="8" t="s">
        <v>26</v>
      </c>
      <c r="Q12" s="9">
        <v>10.52</v>
      </c>
      <c r="R12" s="9">
        <v>624</v>
      </c>
      <c r="S12" s="12">
        <v>8</v>
      </c>
      <c r="T12" s="18">
        <f t="shared" si="0"/>
        <v>10.52</v>
      </c>
    </row>
    <row r="13" spans="1:20" x14ac:dyDescent="0.25">
      <c r="A13" s="8">
        <v>23</v>
      </c>
      <c r="B13" s="8" t="s">
        <v>139</v>
      </c>
      <c r="C13" s="9" t="s">
        <v>76</v>
      </c>
      <c r="D13" s="8"/>
      <c r="E13" s="9"/>
      <c r="F13" s="9"/>
      <c r="G13" s="9">
        <v>1</v>
      </c>
      <c r="H13" s="18">
        <v>3</v>
      </c>
      <c r="I13" s="17"/>
      <c r="J13" s="11">
        <v>140</v>
      </c>
      <c r="K13" s="15">
        <v>350</v>
      </c>
      <c r="L13" s="15">
        <v>350</v>
      </c>
      <c r="M13" s="11"/>
      <c r="N13" s="11"/>
      <c r="O13" s="8" t="s">
        <v>140</v>
      </c>
      <c r="P13" s="8" t="s">
        <v>26</v>
      </c>
      <c r="Q13" s="9">
        <v>10.89</v>
      </c>
      <c r="R13" s="9">
        <v>2298</v>
      </c>
      <c r="S13" s="12">
        <v>8</v>
      </c>
      <c r="T13" s="18">
        <f t="shared" si="0"/>
        <v>10.89</v>
      </c>
    </row>
    <row r="14" spans="1:20" x14ac:dyDescent="0.25">
      <c r="A14" s="8">
        <v>1</v>
      </c>
      <c r="B14" s="21" t="s">
        <v>148</v>
      </c>
      <c r="C14" s="9" t="s">
        <v>156</v>
      </c>
      <c r="D14" s="8"/>
      <c r="E14" s="9" t="s">
        <v>182</v>
      </c>
      <c r="F14" s="9"/>
      <c r="G14" s="9">
        <v>1</v>
      </c>
      <c r="H14" s="18">
        <v>1</v>
      </c>
      <c r="I14" s="17"/>
      <c r="J14" s="11">
        <v>0</v>
      </c>
      <c r="K14" s="33">
        <f>L14*0.5</f>
        <v>150</v>
      </c>
      <c r="L14" s="15">
        <v>300</v>
      </c>
      <c r="M14" s="11"/>
      <c r="N14" s="11"/>
      <c r="O14" s="8" t="s">
        <v>145</v>
      </c>
      <c r="P14" s="8" t="s">
        <v>146</v>
      </c>
      <c r="Q14" s="9">
        <v>0</v>
      </c>
      <c r="R14" s="9">
        <v>0</v>
      </c>
      <c r="S14" s="12">
        <v>50</v>
      </c>
      <c r="T14" s="18">
        <v>1</v>
      </c>
    </row>
    <row r="15" spans="1:20" x14ac:dyDescent="0.25">
      <c r="A15" s="8">
        <v>1</v>
      </c>
      <c r="B15" s="21" t="s">
        <v>149</v>
      </c>
      <c r="C15" s="9" t="s">
        <v>156</v>
      </c>
      <c r="D15" s="8"/>
      <c r="E15" s="9" t="s">
        <v>182</v>
      </c>
      <c r="F15" s="9"/>
      <c r="G15" s="9">
        <v>1</v>
      </c>
      <c r="H15" s="18">
        <v>1</v>
      </c>
      <c r="I15" s="17"/>
      <c r="J15" s="11">
        <v>0</v>
      </c>
      <c r="K15" s="15">
        <f t="shared" ref="K15:K19" si="1">K14</f>
        <v>150</v>
      </c>
      <c r="L15" s="15">
        <v>300</v>
      </c>
      <c r="M15" s="11"/>
      <c r="N15" s="11"/>
      <c r="O15" s="8" t="s">
        <v>145</v>
      </c>
      <c r="P15" s="8" t="s">
        <v>146</v>
      </c>
      <c r="Q15" s="9">
        <v>0</v>
      </c>
      <c r="R15" s="9">
        <v>0</v>
      </c>
      <c r="S15" s="12">
        <v>50</v>
      </c>
      <c r="T15" s="18">
        <v>1</v>
      </c>
    </row>
    <row r="16" spans="1:20" x14ac:dyDescent="0.25">
      <c r="A16" s="8">
        <v>2</v>
      </c>
      <c r="B16" s="21" t="s">
        <v>150</v>
      </c>
      <c r="C16" s="9" t="s">
        <v>156</v>
      </c>
      <c r="D16" s="8"/>
      <c r="E16" s="9" t="s">
        <v>183</v>
      </c>
      <c r="F16" s="9"/>
      <c r="G16" s="9">
        <v>1</v>
      </c>
      <c r="H16" s="18">
        <v>1</v>
      </c>
      <c r="I16" s="17"/>
      <c r="J16" s="11">
        <v>0</v>
      </c>
      <c r="K16" s="15">
        <f t="shared" si="1"/>
        <v>150</v>
      </c>
      <c r="L16" s="15">
        <v>300</v>
      </c>
      <c r="M16" s="11"/>
      <c r="N16" s="11"/>
      <c r="O16" s="8" t="s">
        <v>145</v>
      </c>
      <c r="P16" s="8" t="s">
        <v>146</v>
      </c>
      <c r="Q16" s="9">
        <v>0</v>
      </c>
      <c r="R16" s="9">
        <v>0</v>
      </c>
      <c r="S16" s="12">
        <v>50</v>
      </c>
      <c r="T16" s="18">
        <v>1</v>
      </c>
    </row>
    <row r="17" spans="1:20" x14ac:dyDescent="0.25">
      <c r="A17" s="8">
        <v>3</v>
      </c>
      <c r="B17" s="21" t="s">
        <v>151</v>
      </c>
      <c r="C17" s="9" t="s">
        <v>156</v>
      </c>
      <c r="D17" s="8"/>
      <c r="E17" s="9" t="s">
        <v>184</v>
      </c>
      <c r="F17" s="9"/>
      <c r="G17" s="9">
        <v>1</v>
      </c>
      <c r="H17" s="18">
        <v>1</v>
      </c>
      <c r="I17" s="17"/>
      <c r="J17" s="11">
        <v>0</v>
      </c>
      <c r="K17" s="15">
        <f t="shared" si="1"/>
        <v>150</v>
      </c>
      <c r="L17" s="15">
        <v>300</v>
      </c>
      <c r="M17" s="11"/>
      <c r="N17" s="11"/>
      <c r="O17" s="8" t="s">
        <v>145</v>
      </c>
      <c r="P17" s="8" t="s">
        <v>146</v>
      </c>
      <c r="Q17" s="9">
        <v>0</v>
      </c>
      <c r="R17" s="9">
        <v>0</v>
      </c>
      <c r="S17" s="12">
        <v>50</v>
      </c>
      <c r="T17" s="18">
        <v>1</v>
      </c>
    </row>
    <row r="18" spans="1:20" x14ac:dyDescent="0.25">
      <c r="A18" s="8">
        <v>5</v>
      </c>
      <c r="B18" s="21" t="s">
        <v>152</v>
      </c>
      <c r="C18" s="9" t="s">
        <v>156</v>
      </c>
      <c r="D18" s="8"/>
      <c r="E18" s="9" t="s">
        <v>183</v>
      </c>
      <c r="F18" s="9"/>
      <c r="G18" s="9">
        <v>1</v>
      </c>
      <c r="H18" s="18">
        <v>1</v>
      </c>
      <c r="I18" s="17"/>
      <c r="J18" s="11">
        <v>0</v>
      </c>
      <c r="K18" s="15">
        <f t="shared" si="1"/>
        <v>150</v>
      </c>
      <c r="L18" s="15">
        <v>300</v>
      </c>
      <c r="M18" s="11"/>
      <c r="N18" s="11"/>
      <c r="O18" s="8" t="s">
        <v>145</v>
      </c>
      <c r="P18" s="8" t="s">
        <v>146</v>
      </c>
      <c r="Q18" s="9">
        <v>0</v>
      </c>
      <c r="R18" s="9">
        <v>0</v>
      </c>
      <c r="S18" s="12">
        <v>50</v>
      </c>
      <c r="T18" s="18">
        <v>1</v>
      </c>
    </row>
    <row r="19" spans="1:20" x14ac:dyDescent="0.25">
      <c r="A19" s="8">
        <v>7</v>
      </c>
      <c r="B19" s="21" t="s">
        <v>153</v>
      </c>
      <c r="C19" s="9" t="s">
        <v>156</v>
      </c>
      <c r="D19" s="8"/>
      <c r="E19" s="9" t="s">
        <v>183</v>
      </c>
      <c r="F19" s="9"/>
      <c r="G19" s="9">
        <v>1</v>
      </c>
      <c r="H19" s="18">
        <v>1</v>
      </c>
      <c r="I19" s="17"/>
      <c r="J19" s="11">
        <v>0</v>
      </c>
      <c r="K19" s="15">
        <f t="shared" si="1"/>
        <v>150</v>
      </c>
      <c r="L19" s="15">
        <v>300</v>
      </c>
      <c r="M19" s="11"/>
      <c r="N19" s="11"/>
      <c r="O19" s="8" t="s">
        <v>145</v>
      </c>
      <c r="P19" s="8" t="s">
        <v>146</v>
      </c>
      <c r="Q19" s="9">
        <v>0</v>
      </c>
      <c r="R19" s="9">
        <v>0</v>
      </c>
      <c r="S19" s="12">
        <v>50</v>
      </c>
      <c r="T19" s="18">
        <v>1</v>
      </c>
    </row>
  </sheetData>
  <autoFilter ref="A1:T3" xr:uid="{00000000-0001-0000-0700-000000000000}"/>
  <phoneticPr fontId="5" type="noConversion"/>
  <conditionalFormatting sqref="D2:D19">
    <cfRule type="expression" dxfId="3" priority="3">
      <formula>($C2&lt;&gt;"LIFO")</formula>
    </cfRule>
  </conditionalFormatting>
  <conditionalFormatting sqref="E2:E19">
    <cfRule type="expression" dxfId="2" priority="2">
      <formula>($C2&lt;&gt;"Pro-Rata")</formula>
    </cfRule>
  </conditionalFormatting>
  <dataValidations count="1">
    <dataValidation type="list" allowBlank="1" showInputMessage="1" showErrorMessage="1" sqref="C2:C19" xr:uid="{67F4444B-695B-48E7-962C-37349BDA0ACC}">
      <formula1>"Individual,Uncontrollable,LIFO,Pro-Rata"</formula1>
    </dataValidation>
  </dataValidations>
  <hyperlinks>
    <hyperlink ref="B14" r:id="rId1" xr:uid="{76BED51C-A6E8-4081-9451-EA83E39F10D0}"/>
    <hyperlink ref="B15" r:id="rId2" xr:uid="{82AF0C33-5CF0-4150-8531-8D7C848FCE02}"/>
    <hyperlink ref="B16" r:id="rId3" xr:uid="{E3EA3F0B-F54A-42E6-9D06-DFBC2C617DCB}"/>
    <hyperlink ref="B17" r:id="rId4" xr:uid="{D361440A-4BD3-42EB-B424-265E4A2B10FA}"/>
    <hyperlink ref="B18" r:id="rId5" xr:uid="{35A8E390-9487-4A4D-AECC-DC4DB07E2CDB}"/>
    <hyperlink ref="B19" r:id="rId6" xr:uid="{DDE2E7D2-1CC2-4AEF-8869-D81DEF10F037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AH2"/>
  <sheetViews>
    <sheetView workbookViewId="0">
      <selection activeCell="L43" sqref="L43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_xlfn.XLOOKUP(B$1,generator!$B$2:$B$19,generator!$J$2:$J$19)</f>
        <v>30.4</v>
      </c>
      <c r="C2" s="8">
        <f>_xlfn.XLOOKUP(C$1,generator!$B$2:$B$19,generator!$J$2:$J$19)</f>
        <v>30.4</v>
      </c>
      <c r="D2" s="8">
        <f>_xlfn.XLOOKUP(D$1,generator!$B$2:$B$19,generator!$J$2:$J$19)</f>
        <v>75</v>
      </c>
      <c r="E2" s="8">
        <f>_xlfn.XLOOKUP(E$1,generator!$B$2:$B$19,generator!$J$2:$J$19)</f>
        <v>206.85</v>
      </c>
      <c r="F2" s="8">
        <f>_xlfn.XLOOKUP(F$1,generator!$B$2:$B$19,generator!$J$2:$J$19)</f>
        <v>12</v>
      </c>
      <c r="G2" s="8">
        <f>_xlfn.XLOOKUP(G$1,generator!$B$2:$B$19,generator!$J$2:$J$19)</f>
        <v>54.25</v>
      </c>
      <c r="H2" s="8">
        <f>_xlfn.XLOOKUP(H$1,generator!$B$2:$B$19,generator!$J$2:$J$19)</f>
        <v>54.25</v>
      </c>
      <c r="I2" s="8">
        <f>_xlfn.XLOOKUP(I$1,generator!$B$2:$B$19,generator!$J$2:$J$19)</f>
        <v>100</v>
      </c>
      <c r="J2" s="8">
        <f>_xlfn.XLOOKUP(J$1,generator!$B$2:$B$19,generator!$J$2:$J$19)</f>
        <v>100</v>
      </c>
      <c r="K2" s="8">
        <f>_xlfn.XLOOKUP(K$1,generator!$B$2:$B$19,generator!$J$2:$J$19)</f>
        <v>300</v>
      </c>
      <c r="L2" s="8">
        <f>_xlfn.XLOOKUP(L$1,generator!$B$2:$B$19,generator!$J$2:$J$19)</f>
        <v>108.5</v>
      </c>
      <c r="M2" s="8">
        <f>_xlfn.XLOOKUP(M$1,generator!$B$2:$B$19,generator!$J$2:$J$19)</f>
        <v>140</v>
      </c>
      <c r="N2" s="8">
        <f>_xlfn.XLOOKUP(N$1,generator!$B$2:$B$19,generator!$J$2:$J$19)</f>
        <v>0</v>
      </c>
      <c r="O2" s="8">
        <f>_xlfn.XLOOKUP(O$1,generator!$B$2:$B$19,generator!$J$2:$J$19)</f>
        <v>0</v>
      </c>
      <c r="P2" s="8">
        <f>_xlfn.XLOOKUP(P$1,generator!$B$2:$B$19,generator!$J$2:$J$19)</f>
        <v>0</v>
      </c>
      <c r="Q2" s="8">
        <f>_xlfn.XLOOKUP(Q$1,generator!$B$2:$B$19,generator!$J$2:$J$19)</f>
        <v>0</v>
      </c>
      <c r="R2" s="8">
        <f>_xlfn.XLOOKUP(R$1,generator!$B$2:$B$19,generator!$J$2:$J$19)</f>
        <v>0</v>
      </c>
      <c r="S2" s="8">
        <f>_xlfn.XLOOKUP(S$1,generator!$B$2:$B$19,generator!$J$2:$J$19)</f>
        <v>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_xlfn.XLOOKUP(B$1,generator!$B$2:$B$19,generator!$L$2:$L$19)</f>
        <v>152</v>
      </c>
      <c r="C2" s="8">
        <f>_xlfn.XLOOKUP(C$1,generator!$B$2:$B$19,generator!$L$2:$L$19)</f>
        <v>152</v>
      </c>
      <c r="D2" s="8">
        <f>_xlfn.XLOOKUP(D$1,generator!$B$2:$B$19,generator!$L$2:$L$19)</f>
        <v>350</v>
      </c>
      <c r="E2" s="8">
        <f>_xlfn.XLOOKUP(E$1,generator!$B$2:$B$19,generator!$L$2:$L$19)</f>
        <v>591</v>
      </c>
      <c r="F2" s="8">
        <f>_xlfn.XLOOKUP(F$1,generator!$B$2:$B$19,generator!$L$2:$L$19)</f>
        <v>60</v>
      </c>
      <c r="G2" s="8">
        <f>_xlfn.XLOOKUP(G$1,generator!$B$2:$B$19,generator!$L$2:$L$19)</f>
        <v>155</v>
      </c>
      <c r="H2" s="8">
        <f>_xlfn.XLOOKUP(H$1,generator!$B$2:$B$19,generator!$L$2:$L$19)</f>
        <v>155</v>
      </c>
      <c r="I2" s="8">
        <f>_xlfn.XLOOKUP(I$1,generator!$B$2:$B$19,generator!$L$2:$L$19)</f>
        <v>400</v>
      </c>
      <c r="J2" s="8">
        <f>_xlfn.XLOOKUP(J$1,generator!$B$2:$B$19,generator!$L$2:$L$19)</f>
        <v>400</v>
      </c>
      <c r="K2" s="8">
        <f>_xlfn.XLOOKUP(K$1,generator!$B$2:$B$19,generator!$L$2:$L$19)</f>
        <v>300</v>
      </c>
      <c r="L2" s="8">
        <f>_xlfn.XLOOKUP(L$1,generator!$B$2:$B$19,generator!$L$2:$L$19)</f>
        <v>310</v>
      </c>
      <c r="M2" s="8">
        <f>_xlfn.XLOOKUP(M$1,generator!$B$2:$B$19,generator!$L$2:$L$19)</f>
        <v>350</v>
      </c>
      <c r="N2" s="8">
        <f>_xlfn.XLOOKUP(N$1,generator!$B$2:$B$19,generator!$L$2:$L$19)</f>
        <v>300</v>
      </c>
      <c r="O2" s="8">
        <f>_xlfn.XLOOKUP(O$1,generator!$B$2:$B$19,generator!$L$2:$L$19)</f>
        <v>300</v>
      </c>
      <c r="P2" s="8">
        <f>_xlfn.XLOOKUP(P$1,generator!$B$2:$B$19,generator!$L$2:$L$19)</f>
        <v>300</v>
      </c>
      <c r="Q2" s="8">
        <f>_xlfn.XLOOKUP(Q$1,generator!$B$2:$B$19,generator!$L$2:$L$19)</f>
        <v>300</v>
      </c>
      <c r="R2" s="8">
        <f>_xlfn.XLOOKUP(R$1,generator!$B$2:$B$19,generator!$L$2:$L$19)</f>
        <v>300</v>
      </c>
      <c r="S2" s="8">
        <f>_xlfn.XLOOKUP(S$1,generator!$B$2:$B$19,generator!$L$2:$L$19)</f>
        <v>300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_xlfn.XLOOKUP(B$1,generator!$B$2:$B$19,generator!$S$2:$S$19)</f>
        <v>11</v>
      </c>
      <c r="C2" s="8">
        <f>_xlfn.XLOOKUP(C$1,generator!$B$2:$B$19,generator!$S$2:$S$19)</f>
        <v>11</v>
      </c>
      <c r="D2" s="8">
        <f>_xlfn.XLOOKUP(D$1,generator!$B$2:$B$19,generator!$S$2:$S$19)</f>
        <v>16</v>
      </c>
      <c r="E2" s="8">
        <f>_xlfn.XLOOKUP(E$1,generator!$B$2:$B$19,generator!$S$2:$S$19)</f>
        <v>17</v>
      </c>
      <c r="F2" s="8">
        <f>_xlfn.XLOOKUP(F$1,generator!$B$2:$B$19,generator!$S$2:$S$19)</f>
        <v>23</v>
      </c>
      <c r="G2" s="8">
        <f>_xlfn.XLOOKUP(G$1,generator!$B$2:$B$19,generator!$S$2:$S$19)</f>
        <v>7</v>
      </c>
      <c r="H2" s="8">
        <f>_xlfn.XLOOKUP(H$1,generator!$B$2:$B$19,generator!$S$2:$S$19)</f>
        <v>7</v>
      </c>
      <c r="I2" s="8">
        <f>_xlfn.XLOOKUP(I$1,generator!$B$2:$B$19,generator!$S$2:$S$19)</f>
        <v>6.02</v>
      </c>
      <c r="J2" s="8">
        <f>_xlfn.XLOOKUP(J$1,generator!$B$2:$B$19,generator!$S$2:$S$19)</f>
        <v>5.47</v>
      </c>
      <c r="K2" s="8">
        <f>_xlfn.XLOOKUP(K$1,generator!$B$2:$B$19,generator!$S$2:$S$19)</f>
        <v>5.47</v>
      </c>
      <c r="L2" s="8">
        <f>_xlfn.XLOOKUP(L$1,generator!$B$2:$B$19,generator!$S$2:$S$19)</f>
        <v>8</v>
      </c>
      <c r="M2" s="8">
        <f>_xlfn.XLOOKUP(M$1,generator!$B$2:$B$19,generator!$S$2:$S$19)</f>
        <v>8</v>
      </c>
      <c r="N2" s="8">
        <f>_xlfn.XLOOKUP(N$1,generator!$B$2:$B$19,generator!$S$2:$S$19)</f>
        <v>50</v>
      </c>
      <c r="O2" s="8">
        <f>_xlfn.XLOOKUP(O$1,generator!$B$2:$B$19,generator!$S$2:$S$19)</f>
        <v>50</v>
      </c>
      <c r="P2" s="8">
        <f>_xlfn.XLOOKUP(P$1,generator!$B$2:$B$19,generator!$S$2:$S$19)</f>
        <v>50</v>
      </c>
      <c r="Q2" s="8">
        <f>_xlfn.XLOOKUP(Q$1,generator!$B$2:$B$19,generator!$S$2:$S$19)</f>
        <v>50</v>
      </c>
      <c r="R2" s="8">
        <f>_xlfn.XLOOKUP(R$1,generator!$B$2:$B$19,generator!$S$2:$S$19)</f>
        <v>50</v>
      </c>
      <c r="S2" s="8">
        <f>_xlfn.XLOOKUP(S$1,generator!$B$2:$B$19,generator!$S$2:$S$19)</f>
        <v>50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E42D-E01E-46EA-85A2-0BBC4AA36C0C}">
  <sheetPr>
    <tabColor rgb="FFAE78D6"/>
  </sheetPr>
  <dimension ref="A1:AA3"/>
  <sheetViews>
    <sheetView zoomScaleNormal="100" workbookViewId="0">
      <selection activeCell="O30" sqref="O30"/>
    </sheetView>
  </sheetViews>
  <sheetFormatPr defaultColWidth="8.7109375" defaultRowHeight="15" x14ac:dyDescent="0.25"/>
  <cols>
    <col min="1" max="1" width="13.28515625" bestFit="1" customWidth="1"/>
    <col min="2" max="2" width="12.5703125" bestFit="1" customWidth="1"/>
    <col min="3" max="4" width="17.28515625" bestFit="1" customWidth="1"/>
    <col min="5" max="5" width="19" bestFit="1" customWidth="1"/>
    <col min="6" max="6" width="23.140625" bestFit="1" customWidth="1"/>
    <col min="7" max="7" width="14" customWidth="1"/>
    <col min="8" max="8" width="8.5703125" bestFit="1" customWidth="1"/>
    <col min="9" max="9" width="9.28515625" bestFit="1" customWidth="1"/>
    <col min="10" max="10" width="15.42578125" customWidth="1"/>
    <col min="11" max="11" width="10.140625" bestFit="1" customWidth="1"/>
    <col min="12" max="12" width="10.42578125" bestFit="1" customWidth="1"/>
    <col min="13" max="13" width="10.140625" bestFit="1" customWidth="1"/>
    <col min="14" max="14" width="10.140625" customWidth="1"/>
    <col min="15" max="15" width="10.42578125" bestFit="1" customWidth="1"/>
    <col min="16" max="16" width="10.140625" bestFit="1" customWidth="1"/>
    <col min="17" max="17" width="10.140625" customWidth="1"/>
    <col min="18" max="18" width="10.42578125" bestFit="1" customWidth="1"/>
    <col min="19" max="19" width="10.140625" bestFit="1" customWidth="1"/>
    <col min="20" max="20" width="10.42578125" bestFit="1" customWidth="1"/>
    <col min="21" max="22" width="13.28515625" bestFit="1" customWidth="1"/>
    <col min="23" max="25" width="10.7109375" bestFit="1" customWidth="1"/>
    <col min="26" max="26" width="8.28515625" bestFit="1" customWidth="1"/>
    <col min="27" max="27" width="9.7109375" bestFit="1" customWidth="1"/>
    <col min="28" max="1027" width="8.42578125" customWidth="1"/>
  </cols>
  <sheetData>
    <row r="1" spans="1:27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73</v>
      </c>
      <c r="F1" s="1" t="s">
        <v>74</v>
      </c>
      <c r="G1" s="1" t="s">
        <v>30</v>
      </c>
      <c r="H1" s="1" t="s">
        <v>6</v>
      </c>
      <c r="I1" s="1" t="s">
        <v>2</v>
      </c>
      <c r="J1" s="1" t="s">
        <v>41</v>
      </c>
      <c r="K1" s="1" t="s">
        <v>39</v>
      </c>
      <c r="L1" s="1" t="s">
        <v>40</v>
      </c>
      <c r="M1" s="1" t="s">
        <v>50</v>
      </c>
      <c r="N1" s="1" t="s">
        <v>53</v>
      </c>
      <c r="O1" s="1" t="s">
        <v>49</v>
      </c>
      <c r="P1" s="1" t="s">
        <v>51</v>
      </c>
      <c r="Q1" s="1" t="s">
        <v>54</v>
      </c>
      <c r="R1" s="1" t="s">
        <v>52</v>
      </c>
      <c r="S1" s="1" t="s">
        <v>32</v>
      </c>
      <c r="T1" s="1" t="s">
        <v>33</v>
      </c>
      <c r="U1" s="1" t="s">
        <v>38</v>
      </c>
      <c r="V1" s="1" t="s">
        <v>25</v>
      </c>
      <c r="W1" s="1" t="s">
        <v>71</v>
      </c>
      <c r="X1" s="1" t="s">
        <v>72</v>
      </c>
      <c r="Y1" s="1" t="s">
        <v>20</v>
      </c>
      <c r="Z1" s="2" t="s">
        <v>21</v>
      </c>
      <c r="AA1" s="2" t="s">
        <v>17</v>
      </c>
    </row>
    <row r="2" spans="1:27" s="13" customFormat="1" x14ac:dyDescent="0.25">
      <c r="A2" s="8">
        <v>1</v>
      </c>
      <c r="B2" s="21" t="s">
        <v>157</v>
      </c>
      <c r="C2" s="9" t="s">
        <v>156</v>
      </c>
      <c r="D2" s="8"/>
      <c r="E2" s="9" t="s">
        <v>154</v>
      </c>
      <c r="F2" s="9" t="s">
        <v>147</v>
      </c>
      <c r="G2" s="9"/>
      <c r="H2" s="9">
        <v>0</v>
      </c>
      <c r="I2" s="10"/>
      <c r="J2" s="19">
        <v>0</v>
      </c>
      <c r="K2" s="19">
        <v>0</v>
      </c>
      <c r="L2" s="16">
        <v>0</v>
      </c>
      <c r="M2" s="11">
        <v>-1000</v>
      </c>
      <c r="N2" s="11">
        <v>-1000</v>
      </c>
      <c r="O2" s="17">
        <v>0</v>
      </c>
      <c r="P2" s="11">
        <v>0</v>
      </c>
      <c r="Q2" s="11">
        <v>1000</v>
      </c>
      <c r="R2" s="17">
        <v>1000</v>
      </c>
      <c r="S2" s="11">
        <v>0</v>
      </c>
      <c r="T2" s="11">
        <v>0</v>
      </c>
      <c r="U2" s="8" t="s">
        <v>155</v>
      </c>
      <c r="V2" s="8" t="s">
        <v>26</v>
      </c>
      <c r="W2" s="14">
        <v>1000</v>
      </c>
      <c r="X2" s="14">
        <v>1000</v>
      </c>
      <c r="Y2" s="14">
        <v>0</v>
      </c>
      <c r="Z2" s="12">
        <v>0</v>
      </c>
      <c r="AA2" s="18">
        <v>5</v>
      </c>
    </row>
    <row r="3" spans="1:27" s="13" customFormat="1" x14ac:dyDescent="0.25">
      <c r="A3" s="8">
        <v>3</v>
      </c>
      <c r="B3" s="21" t="s">
        <v>158</v>
      </c>
      <c r="C3" s="9" t="s">
        <v>156</v>
      </c>
      <c r="D3" s="8"/>
      <c r="E3" s="9" t="s">
        <v>154</v>
      </c>
      <c r="F3" s="9" t="s">
        <v>147</v>
      </c>
      <c r="G3" s="9"/>
      <c r="H3" s="9">
        <v>0</v>
      </c>
      <c r="I3" s="10"/>
      <c r="J3" s="19">
        <v>0</v>
      </c>
      <c r="K3" s="19">
        <v>0</v>
      </c>
      <c r="L3" s="16">
        <v>0</v>
      </c>
      <c r="M3" s="11">
        <v>-1000</v>
      </c>
      <c r="N3" s="11">
        <v>-1000</v>
      </c>
      <c r="O3" s="17">
        <v>0</v>
      </c>
      <c r="P3" s="11">
        <v>0</v>
      </c>
      <c r="Q3" s="11">
        <v>1000</v>
      </c>
      <c r="R3" s="17">
        <v>1000</v>
      </c>
      <c r="S3" s="11">
        <v>0</v>
      </c>
      <c r="T3" s="11">
        <v>0</v>
      </c>
      <c r="U3" s="8" t="s">
        <v>155</v>
      </c>
      <c r="V3" s="8" t="s">
        <v>26</v>
      </c>
      <c r="W3" s="14">
        <v>1000</v>
      </c>
      <c r="X3" s="14">
        <v>1000</v>
      </c>
      <c r="Y3" s="14">
        <v>0</v>
      </c>
      <c r="Z3" s="12">
        <v>0</v>
      </c>
      <c r="AA3" s="18">
        <v>5</v>
      </c>
    </row>
  </sheetData>
  <conditionalFormatting sqref="D2:D3">
    <cfRule type="expression" dxfId="1" priority="6">
      <formula>($C2&lt;&gt;"LIFO")</formula>
    </cfRule>
  </conditionalFormatting>
  <conditionalFormatting sqref="E2:F3">
    <cfRule type="expression" dxfId="0" priority="1">
      <formula>($C2&lt;&gt;"Pro-Rata")</formula>
    </cfRule>
  </conditionalFormatting>
  <dataValidations count="1">
    <dataValidation type="list" allowBlank="1" showInputMessage="1" showErrorMessage="1" sqref="C2:C3" xr:uid="{C4803F95-F688-40F9-86C2-AFB9CD1C8D1F}">
      <formula1>"Individual,Uncontrollable,LIFO,Pro-Rata"</formula1>
    </dataValidation>
  </dataValidations>
  <hyperlinks>
    <hyperlink ref="B2" r:id="rId1" xr:uid="{53A797CB-A0BD-46B9-966F-32371ADC2BFC}"/>
    <hyperlink ref="B3" r:id="rId2" xr:uid="{2DF5EB1B-35A2-4EA5-B8FF-7FB87C56D24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B1F-CAEF-40C1-8E30-AD90AAF58A69}">
  <dimension ref="A1:L1"/>
  <sheetViews>
    <sheetView workbookViewId="0">
      <selection activeCell="B14" sqref="B14"/>
    </sheetView>
  </sheetViews>
  <sheetFormatPr defaultColWidth="8.7109375" defaultRowHeight="15" x14ac:dyDescent="0.25"/>
  <cols>
    <col min="1" max="1" width="10.28515625" customWidth="1"/>
    <col min="2" max="2" width="14" bestFit="1" customWidth="1"/>
    <col min="3" max="3" width="11.5703125" bestFit="1" customWidth="1"/>
    <col min="4" max="5" width="11.5703125" customWidth="1"/>
    <col min="6" max="6" width="8.5703125" bestFit="1" customWidth="1"/>
    <col min="7" max="8" width="10.140625" bestFit="1" customWidth="1"/>
    <col min="9" max="10" width="10.7109375" bestFit="1" customWidth="1"/>
    <col min="11" max="11" width="8.28515625" bestFit="1" customWidth="1"/>
    <col min="12" max="12" width="9.7109375" bestFit="1" customWidth="1"/>
    <col min="13" max="1012" width="8.42578125" customWidth="1"/>
  </cols>
  <sheetData>
    <row r="1" spans="1:12" x14ac:dyDescent="0.25">
      <c r="A1" s="1" t="s">
        <v>0</v>
      </c>
      <c r="B1" s="1" t="s">
        <v>9</v>
      </c>
      <c r="C1" s="1" t="s">
        <v>10</v>
      </c>
      <c r="D1" s="1" t="s">
        <v>47</v>
      </c>
      <c r="E1" s="1" t="s">
        <v>48</v>
      </c>
      <c r="F1" s="1" t="s">
        <v>6</v>
      </c>
      <c r="G1" s="1" t="s">
        <v>46</v>
      </c>
      <c r="H1" s="1" t="s">
        <v>32</v>
      </c>
      <c r="I1" s="1" t="s">
        <v>19</v>
      </c>
      <c r="J1" s="1" t="s">
        <v>20</v>
      </c>
      <c r="K1" s="2" t="s">
        <v>21</v>
      </c>
      <c r="L1" s="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564E-DD70-4EA6-9ECF-156852692933}">
  <dimension ref="A1:C2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s="2" t="s">
        <v>27</v>
      </c>
      <c r="B1" s="7" t="s">
        <v>44</v>
      </c>
      <c r="C1" s="7" t="s">
        <v>45</v>
      </c>
    </row>
    <row r="2" spans="1:3" x14ac:dyDescent="0.25">
      <c r="A2" s="4" t="s">
        <v>28</v>
      </c>
      <c r="B2" s="8">
        <v>0</v>
      </c>
      <c r="C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2" sqref="K22"/>
    </sheetView>
  </sheetViews>
  <sheetFormatPr defaultColWidth="8.7109375" defaultRowHeight="15" x14ac:dyDescent="0.25"/>
  <cols>
    <col min="1" max="1025" width="8.42578125" customWidth="1"/>
  </cols>
  <sheetData>
    <row r="1" spans="1:1" x14ac:dyDescent="0.25">
      <c r="A1" s="1" t="s">
        <v>22</v>
      </c>
    </row>
    <row r="2" spans="1:1" x14ac:dyDescent="0.25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154A97-129B-485D-B947-078C965E6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8DCC68-DE29-405F-AF91-B4AEFE460474}">
  <ds:schemaRefs>
    <ds:schemaRef ds:uri="http://purl.org/dc/terms/"/>
    <ds:schemaRef ds:uri="http://schemas.microsoft.com/office/infopath/2007/PartnerControls"/>
    <ds:schemaRef ds:uri="3610aed6-0335-46d2-b190-87c476b048cc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6dce361f-7b53-4909-8b0d-30e42626cd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demand</vt:lpstr>
      <vt:lpstr>ts_PD</vt:lpstr>
      <vt:lpstr>PD Calculator</vt:lpstr>
      <vt:lpstr>ts_VOLL</vt:lpstr>
      <vt:lpstr>branch</vt:lpstr>
      <vt:lpstr>ts_Lmax</vt:lpstr>
      <vt:lpstr>transformers_2w</vt:lpstr>
      <vt:lpstr>transformers_3w</vt:lpstr>
      <vt:lpstr>ts_TLmax</vt:lpstr>
      <vt:lpstr>generator</vt:lpstr>
      <vt:lpstr>ts_PGLB</vt:lpstr>
      <vt:lpstr>ts_PGUB</vt:lpstr>
      <vt:lpstr>ts_bid</vt:lpstr>
      <vt:lpstr>prosumer</vt:lpstr>
      <vt:lpstr>interconnectors</vt:lpstr>
      <vt:lpstr>ts_Pint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2026-07-20T12:10:48Z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