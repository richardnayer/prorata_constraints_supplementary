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39" documentId="8_{4D4B3E13-D793-45FB-A9A4-D3B19274398C}" xr6:coauthVersionLast="47" xr6:coauthVersionMax="47" xr10:uidLastSave="{9880C990-28E1-4FCA-9F9B-6BB71837A394}"/>
  <bookViews>
    <workbookView xWindow="-120" yWindow="-120" windowWidth="29040" windowHeight="17520" tabRatio="699" activeTab="1" xr2:uid="{00000000-000D-0000-FFFF-FFFF00000000}"/>
  </bookViews>
  <sheets>
    <sheet name="snapshots" sheetId="3" r:id="rId1"/>
    <sheet name="varying wind firm (pro-rata)" sheetId="6" r:id="rId2"/>
    <sheet name="varying prosumer capacity" sheetId="2" r:id="rId3"/>
    <sheet name="D0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  <c r="G20" i="2"/>
  <c r="G19" i="2"/>
  <c r="G18" i="2"/>
  <c r="G17" i="2"/>
  <c r="G16" i="2"/>
  <c r="G15" i="2"/>
  <c r="G14" i="2"/>
  <c r="G13" i="2"/>
  <c r="G12" i="2"/>
  <c r="J14" i="7" l="1"/>
  <c r="I14" i="7"/>
  <c r="H14" i="7"/>
  <c r="G14" i="7"/>
  <c r="F14" i="7"/>
  <c r="E14" i="7"/>
  <c r="D14" i="7"/>
  <c r="C14" i="7"/>
  <c r="AK19" i="6" l="1"/>
  <c r="AD16" i="6" l="1"/>
  <c r="AC16" i="6"/>
  <c r="AB16" i="6"/>
  <c r="AA16" i="6"/>
  <c r="Z16" i="6"/>
  <c r="Y16" i="6"/>
  <c r="AD15" i="6"/>
  <c r="AC15" i="6"/>
  <c r="AB15" i="6"/>
  <c r="AA15" i="6"/>
  <c r="Z15" i="6"/>
  <c r="Y15" i="6"/>
  <c r="AD14" i="6"/>
  <c r="AC14" i="6"/>
  <c r="AB14" i="6"/>
  <c r="AA14" i="6"/>
  <c r="Z14" i="6"/>
  <c r="Y14" i="6"/>
  <c r="AD13" i="6"/>
  <c r="AC13" i="6"/>
  <c r="AB13" i="6"/>
  <c r="AA13" i="6"/>
  <c r="Z13" i="6"/>
  <c r="Y13" i="6"/>
  <c r="AD12" i="6"/>
  <c r="AC12" i="6"/>
  <c r="AB12" i="6"/>
  <c r="AA12" i="6"/>
  <c r="Z12" i="6"/>
  <c r="Y12" i="6"/>
  <c r="AD11" i="6"/>
  <c r="AC11" i="6"/>
  <c r="AB11" i="6"/>
  <c r="AA11" i="6"/>
  <c r="Z11" i="6"/>
  <c r="Y11" i="6"/>
  <c r="AD10" i="6"/>
  <c r="AC10" i="6"/>
  <c r="AB10" i="6"/>
  <c r="AA10" i="6"/>
  <c r="Z10" i="6"/>
  <c r="Y10" i="6"/>
  <c r="AD9" i="6"/>
  <c r="AC9" i="6"/>
  <c r="AB9" i="6"/>
  <c r="AA9" i="6"/>
  <c r="Z9" i="6"/>
  <c r="Y9" i="6"/>
  <c r="AD8" i="6"/>
  <c r="AC8" i="6"/>
  <c r="AB8" i="6"/>
  <c r="AA8" i="6"/>
  <c r="Z8" i="6"/>
  <c r="Y8" i="6"/>
  <c r="AD7" i="6"/>
  <c r="AC7" i="6"/>
  <c r="AB7" i="6"/>
  <c r="AA7" i="6"/>
  <c r="Z7" i="6"/>
  <c r="Y7" i="6"/>
  <c r="AD6" i="6"/>
  <c r="AC6" i="6"/>
  <c r="AB6" i="6"/>
  <c r="AA6" i="6"/>
  <c r="Z6" i="6"/>
  <c r="Y6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AJ16" i="6"/>
  <c r="AI16" i="6"/>
  <c r="AH16" i="6"/>
  <c r="AG16" i="6"/>
  <c r="AF16" i="6"/>
  <c r="AE16" i="6"/>
  <c r="AJ15" i="6"/>
  <c r="AI15" i="6"/>
  <c r="AH15" i="6"/>
  <c r="AG15" i="6"/>
  <c r="AF15" i="6"/>
  <c r="AE15" i="6"/>
  <c r="AJ14" i="6"/>
  <c r="AI14" i="6"/>
  <c r="AH14" i="6"/>
  <c r="AG14" i="6"/>
  <c r="AF14" i="6"/>
  <c r="AE14" i="6"/>
  <c r="AJ13" i="6"/>
  <c r="AI13" i="6"/>
  <c r="AH13" i="6"/>
  <c r="AG13" i="6"/>
  <c r="AF13" i="6"/>
  <c r="AE13" i="6"/>
  <c r="AJ12" i="6"/>
  <c r="AI12" i="6"/>
  <c r="AH12" i="6"/>
  <c r="AG12" i="6"/>
  <c r="AF12" i="6"/>
  <c r="AE12" i="6"/>
  <c r="AJ11" i="6"/>
  <c r="AI11" i="6"/>
  <c r="AH11" i="6"/>
  <c r="AG11" i="6"/>
  <c r="AF11" i="6"/>
  <c r="AE11" i="6"/>
  <c r="AJ10" i="6"/>
  <c r="AI10" i="6"/>
  <c r="AH10" i="6"/>
  <c r="AG10" i="6"/>
  <c r="AF10" i="6"/>
  <c r="AE10" i="6"/>
  <c r="AJ9" i="6"/>
  <c r="AI9" i="6"/>
  <c r="AH9" i="6"/>
  <c r="AG9" i="6"/>
  <c r="AF9" i="6"/>
  <c r="AE9" i="6"/>
  <c r="AJ8" i="6"/>
  <c r="AI8" i="6"/>
  <c r="AH8" i="6"/>
  <c r="AG8" i="6"/>
  <c r="AF8" i="6"/>
  <c r="AE8" i="6"/>
  <c r="AJ7" i="6"/>
  <c r="AI7" i="6"/>
  <c r="AH7" i="6"/>
  <c r="AG7" i="6"/>
  <c r="AF7" i="6"/>
  <c r="AE7" i="6"/>
  <c r="AJ6" i="6"/>
  <c r="AI6" i="6"/>
  <c r="AH6" i="6"/>
  <c r="AG6" i="6"/>
  <c r="AF6" i="6"/>
  <c r="AE6" i="6"/>
  <c r="K40" i="3" l="1"/>
  <c r="J40" i="3"/>
  <c r="I40" i="3"/>
  <c r="H40" i="3"/>
  <c r="G40" i="3"/>
  <c r="F40" i="3"/>
  <c r="K39" i="3"/>
  <c r="J39" i="3"/>
  <c r="I39" i="3"/>
  <c r="H39" i="3"/>
  <c r="G39" i="3"/>
  <c r="F39" i="3"/>
  <c r="K38" i="3"/>
  <c r="J38" i="3"/>
  <c r="I38" i="3"/>
  <c r="H38" i="3"/>
  <c r="G38" i="3"/>
  <c r="F38" i="3"/>
  <c r="K37" i="3"/>
  <c r="J37" i="3"/>
  <c r="I37" i="3"/>
  <c r="H37" i="3"/>
  <c r="G37" i="3"/>
  <c r="F37" i="3"/>
  <c r="K36" i="3"/>
  <c r="J36" i="3"/>
  <c r="I36" i="3"/>
  <c r="H36" i="3"/>
  <c r="G36" i="3"/>
  <c r="F36" i="3"/>
  <c r="K35" i="3"/>
  <c r="J35" i="3"/>
  <c r="I35" i="3"/>
  <c r="H35" i="3"/>
  <c r="G35" i="3"/>
  <c r="F35" i="3"/>
  <c r="K34" i="3"/>
  <c r="J34" i="3"/>
  <c r="I34" i="3"/>
  <c r="H34" i="3"/>
  <c r="G34" i="3"/>
  <c r="F34" i="3"/>
</calcChain>
</file>

<file path=xl/sharedStrings.xml><?xml version="1.0" encoding="utf-8"?>
<sst xmlns="http://schemas.openxmlformats.org/spreadsheetml/2006/main" count="161" uniqueCount="75">
  <si>
    <t>Wind Curtailment</t>
  </si>
  <si>
    <t>C01</t>
  </si>
  <si>
    <t>C02</t>
  </si>
  <si>
    <t>C03</t>
  </si>
  <si>
    <t>C04</t>
  </si>
  <si>
    <t>C05</t>
  </si>
  <si>
    <t>D01</t>
  </si>
  <si>
    <t>D04</t>
  </si>
  <si>
    <t>Trial</t>
  </si>
  <si>
    <t>Prosumer Capacity</t>
  </si>
  <si>
    <t>E01</t>
  </si>
  <si>
    <t>E02</t>
  </si>
  <si>
    <t>E03</t>
  </si>
  <si>
    <t>Curtailment Costs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</si>
  <si>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</si>
  <si>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</si>
  <si>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</si>
  <si>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</si>
  <si>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</si>
  <si>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</si>
  <si>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</si>
  <si>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</si>
  <si>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</si>
  <si>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</si>
  <si>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</si>
  <si>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</si>
  <si>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</si>
  <si>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C06</t>
  </si>
  <si>
    <t>Total Curtailment</t>
  </si>
  <si>
    <t>Curtailment Cost</t>
  </si>
  <si>
    <t>W@1.1</t>
  </si>
  <si>
    <t>W@1.2</t>
  </si>
  <si>
    <t>W@2</t>
  </si>
  <si>
    <t>W@3</t>
  </si>
  <si>
    <t>W@5</t>
  </si>
  <si>
    <t>W@7</t>
  </si>
  <si>
    <t>Bid Volume [MWh]</t>
  </si>
  <si>
    <t>South</t>
  </si>
  <si>
    <t>13</t>
  </si>
  <si>
    <t>257</t>
  </si>
  <si>
    <t>2357</t>
  </si>
  <si>
    <t>% Curtailed</t>
  </si>
  <si>
    <t>C07</t>
  </si>
  <si>
    <t>Firm Bid</t>
  </si>
  <si>
    <t>Non-Firm Bid</t>
  </si>
  <si>
    <t>Total Bid Volume [MWh]</t>
  </si>
  <si>
    <t>Firm Bid Volume [MWh</t>
  </si>
  <si>
    <t>% Firm Bid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</si>
  <si>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</si>
  <si>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</si>
  <si>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</si>
  <si>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</si>
  <si>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</si>
  <si>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</si>
  <si>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</si>
  <si>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</si>
  <si>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</si>
  <si>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</si>
  <si>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% Curtailment</t>
  </si>
  <si>
    <t>Total Bid Volume vs C06</t>
  </si>
  <si>
    <t>P1</t>
  </si>
  <si>
    <t>P2</t>
  </si>
  <si>
    <t>P3</t>
  </si>
  <si>
    <t>P5</t>
  </si>
  <si>
    <t>P7</t>
  </si>
  <si>
    <t>Pre-Curtailment</t>
  </si>
  <si>
    <t>P11</t>
  </si>
  <si>
    <t>P12</t>
  </si>
  <si>
    <t>P24</t>
  </si>
  <si>
    <t>Post Curtailment</t>
  </si>
  <si>
    <t>Pre</t>
  </si>
  <si>
    <t>Post</t>
  </si>
  <si>
    <t>Diff</t>
  </si>
  <si>
    <t>Cost/Curtailment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</si>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</sst>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10" fontId="0" fillId="0" borderId="0" xfId="1" applyNumberFormat="1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Wind Curtailment by Generator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6"/>
          <c:order val="0"/>
          <c:tx>
            <c:v>W_1.1</c:v>
          </c:tx>
          <c:spPr>
            <a:pattFill prst="lt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snapshots!$F$4:$F$10</c:f>
              <c:numCache>
                <c:formatCode>General</c:formatCode>
                <c:ptCount val="7"/>
                <c:pt idx="0">
                  <c:v>300</c:v>
                </c:pt>
                <c:pt idx="1">
                  <c:v>300</c:v>
                </c:pt>
                <c:pt idx="2">
                  <c:v>179.27364295435211</c:v>
                </c:pt>
                <c:pt idx="3">
                  <c:v>138.2701543655707</c:v>
                </c:pt>
                <c:pt idx="4">
                  <c:v>138.27015436556971</c:v>
                </c:pt>
                <c:pt idx="5">
                  <c:v>34.129967393751151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0-41B2-94CE-C5148903B0F5}"/>
            </c:ext>
          </c:extLst>
        </c:ser>
        <c:ser>
          <c:idx val="0"/>
          <c:order val="1"/>
          <c:tx>
            <c:v>W_1.2</c:v>
          </c:tx>
          <c:spPr>
            <a:pattFill prst="lt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snapshots!$G$4:$G$10</c:f>
              <c:numCache>
                <c:formatCode>General</c:formatCode>
                <c:ptCount val="7"/>
                <c:pt idx="0">
                  <c:v>300</c:v>
                </c:pt>
                <c:pt idx="1">
                  <c:v>300</c:v>
                </c:pt>
                <c:pt idx="2">
                  <c:v>179.27364295435211</c:v>
                </c:pt>
                <c:pt idx="3">
                  <c:v>138.2701543655707</c:v>
                </c:pt>
                <c:pt idx="4">
                  <c:v>138.27015436556971</c:v>
                </c:pt>
                <c:pt idx="5">
                  <c:v>34.129967393751151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0-41B2-94CE-C5148903B0F5}"/>
            </c:ext>
          </c:extLst>
        </c:ser>
        <c:ser>
          <c:idx val="1"/>
          <c:order val="2"/>
          <c:tx>
            <c:v>W_2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snapshots!$H$4:$H$10</c:f>
              <c:numCache>
                <c:formatCode>General</c:formatCode>
                <c:ptCount val="7"/>
                <c:pt idx="0">
                  <c:v>72.219646606735566</c:v>
                </c:pt>
                <c:pt idx="1">
                  <c:v>72.219646606735566</c:v>
                </c:pt>
                <c:pt idx="2">
                  <c:v>179.27364295435211</c:v>
                </c:pt>
                <c:pt idx="3">
                  <c:v>208.5395211251834</c:v>
                </c:pt>
                <c:pt idx="4">
                  <c:v>208.53952112518161</c:v>
                </c:pt>
                <c:pt idx="5">
                  <c:v>270.91622475292291</c:v>
                </c:pt>
                <c:pt idx="6">
                  <c:v>72.219646606735566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0-41B2-94CE-C5148903B0F5}"/>
            </c:ext>
          </c:extLst>
        </c:ser>
        <c:ser>
          <c:idx val="2"/>
          <c:order val="3"/>
          <c:tx>
            <c:v>W_3</c:v>
          </c:tx>
          <c:spPr>
            <a:pattFill prst="pct5">
              <a:fgClr>
                <a:schemeClr val="accent4">
                  <a:lumMod val="60000"/>
                  <a:lumOff val="40000"/>
                </a:schemeClr>
              </a:fgClr>
              <a:bgClr>
                <a:schemeClr val="tx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snapshots!$I$4:$I$10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179.27364295435211</c:v>
                </c:pt>
                <c:pt idx="3">
                  <c:v>138.2701543655707</c:v>
                </c:pt>
                <c:pt idx="4">
                  <c:v>138.27015436556971</c:v>
                </c:pt>
                <c:pt idx="5">
                  <c:v>152.44729838544609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80-41B2-94CE-C5148903B0F5}"/>
            </c:ext>
          </c:extLst>
        </c:ser>
        <c:ser>
          <c:idx val="3"/>
          <c:order val="4"/>
          <c:tx>
            <c:v>W_5</c:v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snapshots!$J$4:$J$10</c:f>
              <c:numCache>
                <c:formatCode>General</c:formatCode>
                <c:ptCount val="7"/>
                <c:pt idx="0">
                  <c:v>52.824906363100112</c:v>
                </c:pt>
                <c:pt idx="1">
                  <c:v>52.824906363100112</c:v>
                </c:pt>
                <c:pt idx="2">
                  <c:v>179.27364295435211</c:v>
                </c:pt>
                <c:pt idx="3">
                  <c:v>208.5395211251834</c:v>
                </c:pt>
                <c:pt idx="4">
                  <c:v>208.53952112518161</c:v>
                </c:pt>
                <c:pt idx="5">
                  <c:v>270.91622475292291</c:v>
                </c:pt>
                <c:pt idx="6">
                  <c:v>52.824906363100112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80-41B2-94CE-C5148903B0F5}"/>
            </c:ext>
          </c:extLst>
        </c:ser>
        <c:ser>
          <c:idx val="4"/>
          <c:order val="5"/>
          <c:tx>
            <c:v>W_7</c:v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snapshots!$K$4:$K$10</c:f>
              <c:numCache>
                <c:formatCode>General</c:formatCode>
                <c:ptCount val="7"/>
                <c:pt idx="0">
                  <c:v>272.80238274691959</c:v>
                </c:pt>
                <c:pt idx="1">
                  <c:v>272.80238274691959</c:v>
                </c:pt>
                <c:pt idx="2">
                  <c:v>179.27364295435211</c:v>
                </c:pt>
                <c:pt idx="3">
                  <c:v>208.53952112518351</c:v>
                </c:pt>
                <c:pt idx="4">
                  <c:v>208.53952112518161</c:v>
                </c:pt>
                <c:pt idx="5">
                  <c:v>270.9162247529228</c:v>
                </c:pt>
                <c:pt idx="6">
                  <c:v>272.80238274691959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80-41B2-94CE-C5148903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overlap val="100"/>
        <c:axId val="340534271"/>
        <c:axId val="700555695"/>
      </c:barChart>
      <c:lineChart>
        <c:grouping val="standard"/>
        <c:varyColors val="0"/>
        <c:ser>
          <c:idx val="5"/>
          <c:order val="6"/>
          <c:tx>
            <c:v>Curtailment Cost [mu]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snapshots!$E$4:$E$10</c:f>
              <c:numCache>
                <c:formatCode>0</c:formatCode>
                <c:ptCount val="7"/>
                <c:pt idx="0">
                  <c:v>101.43004459692</c:v>
                </c:pt>
                <c:pt idx="1">
                  <c:v>101.43004459692</c:v>
                </c:pt>
                <c:pt idx="2">
                  <c:v>123.218094397451</c:v>
                </c:pt>
                <c:pt idx="3">
                  <c:v>113.69238870338</c:v>
                </c:pt>
                <c:pt idx="4">
                  <c:v>113.69238870337939</c:v>
                </c:pt>
                <c:pt idx="5">
                  <c:v>111.8060342869703</c:v>
                </c:pt>
                <c:pt idx="6">
                  <c:v>101.43004459692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80-41B2-94CE-C5148903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397455"/>
        <c:axId val="456185167"/>
      </c:lineChart>
      <c:catAx>
        <c:axId val="340534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0555695"/>
        <c:crosses val="autoZero"/>
        <c:auto val="1"/>
        <c:lblAlgn val="ctr"/>
        <c:lblOffset val="100"/>
        <c:noMultiLvlLbl val="0"/>
      </c:catAx>
      <c:valAx>
        <c:axId val="7005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Bid Volume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0534271"/>
        <c:crosses val="autoZero"/>
        <c:crossBetween val="between"/>
      </c:valAx>
      <c:valAx>
        <c:axId val="4561851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Total Bid Cost [mu]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5397455"/>
        <c:crosses val="max"/>
        <c:crossBetween val="between"/>
      </c:valAx>
      <c:catAx>
        <c:axId val="875397455"/>
        <c:scaling>
          <c:orientation val="minMax"/>
        </c:scaling>
        <c:delete val="1"/>
        <c:axPos val="b"/>
        <c:majorTickMark val="out"/>
        <c:minorTickMark val="none"/>
        <c:tickLblPos val="nextTo"/>
        <c:crossAx val="456185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127762255524511E-2"/>
          <c:y val="0.87085746933164154"/>
          <c:w val="0.97417885463317033"/>
          <c:h val="0.12896153236406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0"/>
          <c:tx>
            <c:v>W1.1</c:v>
          </c:tx>
          <c:spPr>
            <a:pattFill prst="nar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snapshots!$C$34:$C$40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snapshots!$F$34:$F$40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0.5975788098478404</c:v>
                </c:pt>
                <c:pt idx="3">
                  <c:v>0.46090051455190234</c:v>
                </c:pt>
                <c:pt idx="4">
                  <c:v>0.46090051455189901</c:v>
                </c:pt>
                <c:pt idx="5">
                  <c:v>0.1137665579791705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D-4FF1-8DB4-DFE08477AD73}"/>
            </c:ext>
          </c:extLst>
        </c:ser>
        <c:ser>
          <c:idx val="0"/>
          <c:order val="1"/>
          <c:tx>
            <c:v>W1.2</c:v>
          </c:tx>
          <c:spPr>
            <a:pattFill prst="lt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snapshots!$C$34:$C$40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snapshots!$G$34:$G$40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0.5975788098478404</c:v>
                </c:pt>
                <c:pt idx="3">
                  <c:v>0.46090051455190234</c:v>
                </c:pt>
                <c:pt idx="4">
                  <c:v>0.46090051455189901</c:v>
                </c:pt>
                <c:pt idx="5">
                  <c:v>0.1137665579791705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D-4FF1-8DB4-DFE08477AD73}"/>
            </c:ext>
          </c:extLst>
        </c:ser>
        <c:ser>
          <c:idx val="1"/>
          <c:order val="2"/>
          <c:tx>
            <c:v>W2</c:v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snapshots!$C$34:$C$40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snapshots!$H$34:$H$40</c:f>
              <c:numCache>
                <c:formatCode>0%</c:formatCode>
                <c:ptCount val="7"/>
                <c:pt idx="0">
                  <c:v>0.24073215535578521</c:v>
                </c:pt>
                <c:pt idx="1">
                  <c:v>0.24073215535578521</c:v>
                </c:pt>
                <c:pt idx="2">
                  <c:v>0.5975788098478404</c:v>
                </c:pt>
                <c:pt idx="3">
                  <c:v>0.69513173708394471</c:v>
                </c:pt>
                <c:pt idx="4">
                  <c:v>0.69513173708393872</c:v>
                </c:pt>
                <c:pt idx="5">
                  <c:v>0.90305408250974306</c:v>
                </c:pt>
                <c:pt idx="6">
                  <c:v>0.24073215535578521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D-4FF1-8DB4-DFE08477AD73}"/>
            </c:ext>
          </c:extLst>
        </c:ser>
        <c:ser>
          <c:idx val="2"/>
          <c:order val="3"/>
          <c:tx>
            <c:v>W3</c:v>
          </c:tx>
          <c:spPr>
            <a:pattFill prst="pct10">
              <a:fgClr>
                <a:schemeClr val="accent4"/>
              </a:fgClr>
              <a:bgClr>
                <a:schemeClr val="tx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snapshots!$C$34:$C$40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snapshots!$I$34:$I$40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0.5975788098478404</c:v>
                </c:pt>
                <c:pt idx="3">
                  <c:v>0.46090051455190234</c:v>
                </c:pt>
                <c:pt idx="4">
                  <c:v>0.46090051455189901</c:v>
                </c:pt>
                <c:pt idx="5">
                  <c:v>0.50815766128482032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AD-4FF1-8DB4-DFE08477AD73}"/>
            </c:ext>
          </c:extLst>
        </c:ser>
        <c:ser>
          <c:idx val="3"/>
          <c:order val="4"/>
          <c:tx>
            <c:v>W5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snapshots!$C$34:$C$40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snapshots!$J$34:$J$40</c:f>
              <c:numCache>
                <c:formatCode>0%</c:formatCode>
                <c:ptCount val="7"/>
                <c:pt idx="0">
                  <c:v>0.1760830212103337</c:v>
                </c:pt>
                <c:pt idx="1">
                  <c:v>0.1760830212103337</c:v>
                </c:pt>
                <c:pt idx="2">
                  <c:v>0.5975788098478404</c:v>
                </c:pt>
                <c:pt idx="3">
                  <c:v>0.69513173708394471</c:v>
                </c:pt>
                <c:pt idx="4">
                  <c:v>0.69513173708393872</c:v>
                </c:pt>
                <c:pt idx="5">
                  <c:v>0.90305408250974306</c:v>
                </c:pt>
                <c:pt idx="6">
                  <c:v>0.1760830212103337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AD-4FF1-8DB4-DFE08477AD73}"/>
            </c:ext>
          </c:extLst>
        </c:ser>
        <c:ser>
          <c:idx val="4"/>
          <c:order val="5"/>
          <c:tx>
            <c:v>W7</c:v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snapshots!$C$34:$C$40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snapshots!$K$34:$K$40</c:f>
              <c:numCache>
                <c:formatCode>0%</c:formatCode>
                <c:ptCount val="7"/>
                <c:pt idx="0">
                  <c:v>0.90934127582306534</c:v>
                </c:pt>
                <c:pt idx="1">
                  <c:v>0.90934127582306534</c:v>
                </c:pt>
                <c:pt idx="2">
                  <c:v>0.5975788098478404</c:v>
                </c:pt>
                <c:pt idx="3">
                  <c:v>0.69513173708394504</c:v>
                </c:pt>
                <c:pt idx="4">
                  <c:v>0.69513173708393872</c:v>
                </c:pt>
                <c:pt idx="5">
                  <c:v>0.90305408250974262</c:v>
                </c:pt>
                <c:pt idx="6">
                  <c:v>0.90934127582306534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AD-4FF1-8DB4-DFE08477A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340534271"/>
        <c:axId val="700555695"/>
      </c:barChart>
      <c:catAx>
        <c:axId val="3405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0555695"/>
        <c:crosses val="autoZero"/>
        <c:auto val="1"/>
        <c:lblAlgn val="ctr"/>
        <c:lblOffset val="100"/>
        <c:noMultiLvlLbl val="0"/>
      </c:catAx>
      <c:valAx>
        <c:axId val="700555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% Curtailment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053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0"/>
          <c:tx>
            <c:v>South</c:v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snapshots!$L$4:$L$10</c:f>
              <c:numCache>
                <c:formatCode>General</c:formatCode>
                <c:ptCount val="7"/>
                <c:pt idx="2">
                  <c:v>0.59757880984784051</c:v>
                </c:pt>
                <c:pt idx="3">
                  <c:v>0.46090051455190217</c:v>
                </c:pt>
                <c:pt idx="4">
                  <c:v>0.46090051455189879</c:v>
                </c:pt>
                <c:pt idx="5">
                  <c:v>0.1137665579791705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D-4B9F-8CFC-15563F5CFBD6}"/>
            </c:ext>
          </c:extLst>
        </c:ser>
        <c:ser>
          <c:idx val="0"/>
          <c:order val="1"/>
          <c:tx>
            <c:v>13</c:v>
          </c:tx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snapshots!$M$4:$M$10</c:f>
              <c:numCache>
                <c:formatCode>General</c:formatCode>
                <c:ptCount val="7"/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D-4B9F-8CFC-15563F5CFBD6}"/>
            </c:ext>
          </c:extLst>
        </c:ser>
        <c:ser>
          <c:idx val="1"/>
          <c:order val="2"/>
          <c:tx>
            <c:v>257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snapshots!$N$4:$N$10</c:f>
              <c:numCache>
                <c:formatCode>General</c:formatCode>
                <c:ptCount val="7"/>
                <c:pt idx="3">
                  <c:v>0.69513173708394493</c:v>
                </c:pt>
                <c:pt idx="4">
                  <c:v>0.69513173708393872</c:v>
                </c:pt>
                <c:pt idx="5">
                  <c:v>0.90305408250974295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1D-4B9F-8CFC-15563F5CFBD6}"/>
            </c:ext>
          </c:extLst>
        </c:ser>
        <c:ser>
          <c:idx val="2"/>
          <c:order val="3"/>
          <c:tx>
            <c:v>2357</c:v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snapshots!$C$4:$C$10</c:f>
              <c:strCache>
                <c:ptCount val="7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  <c:pt idx="4">
                  <c:v>C05</c:v>
                </c:pt>
                <c:pt idx="5">
                  <c:v>C06</c:v>
                </c:pt>
                <c:pt idx="6">
                  <c:v>C07</c:v>
                </c:pt>
              </c:strCache>
            </c:strRef>
          </c:cat>
          <c:val>
            <c:numRef>
              <c:f>snapshots!$O$4:$O$10</c:f>
              <c:numCache>
                <c:formatCode>General</c:formatCode>
                <c:ptCount val="7"/>
                <c:pt idx="5">
                  <c:v>0.50815766128482032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1D-4B9F-8CFC-15563F5CF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340534271"/>
        <c:axId val="700555695"/>
      </c:barChart>
      <c:catAx>
        <c:axId val="3405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00555695"/>
        <c:crosses val="autoZero"/>
        <c:auto val="1"/>
        <c:lblAlgn val="ctr"/>
        <c:lblOffset val="100"/>
        <c:noMultiLvlLbl val="0"/>
      </c:catAx>
      <c:valAx>
        <c:axId val="700555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% Curtailment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053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 Curtailment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'varying wind firm (pro-rata)'!$A$6:$A$16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'varying wind firm (pro-rata)'!$C$6:$C$16</c:f>
              <c:numCache>
                <c:formatCode>General</c:formatCode>
                <c:ptCount val="11"/>
                <c:pt idx="0">
                  <c:v>1033.4559074317169</c:v>
                </c:pt>
                <c:pt idx="1">
                  <c:v>1033.558332598461</c:v>
                </c:pt>
                <c:pt idx="2">
                  <c:v>1036.9120457485631</c:v>
                </c:pt>
                <c:pt idx="3">
                  <c:v>1040.2657588986649</c:v>
                </c:pt>
                <c:pt idx="4">
                  <c:v>1074.7679017857131</c:v>
                </c:pt>
                <c:pt idx="5">
                  <c:v>1050.5023419186921</c:v>
                </c:pt>
                <c:pt idx="6">
                  <c:v>1039.205675862044</c:v>
                </c:pt>
                <c:pt idx="7">
                  <c:v>1037.1969069391209</c:v>
                </c:pt>
                <c:pt idx="8">
                  <c:v>1035.1881380161981</c:v>
                </c:pt>
                <c:pt idx="9">
                  <c:v>1033.4559074317169</c:v>
                </c:pt>
                <c:pt idx="10">
                  <c:v>1033.4559074317169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3-4F3A-AD13-773EBE4C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407663"/>
        <c:axId val="1921240463"/>
      </c:lineChart>
      <c:lineChart>
        <c:grouping val="standard"/>
        <c:varyColors val="0"/>
        <c:ser>
          <c:idx val="1"/>
          <c:order val="1"/>
          <c:tx>
            <c:v>Curtailment Cost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'varying wind firm (pro-rata)'!$A$6:$A$16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'varying wind firm (pro-rata)'!$F$6:$F$16</c:f>
              <c:numCache>
                <c:formatCode>General</c:formatCode>
                <c:ptCount val="11"/>
                <c:pt idx="0">
                  <c:v>111.8060342869703</c:v>
                </c:pt>
                <c:pt idx="1">
                  <c:v>111.8337421411625</c:v>
                </c:pt>
                <c:pt idx="2">
                  <c:v>112.7409820111947</c:v>
                </c:pt>
                <c:pt idx="3">
                  <c:v>113.6482218812269</c:v>
                </c:pt>
                <c:pt idx="4">
                  <c:v>122.9816735593247</c:v>
                </c:pt>
                <c:pt idx="5">
                  <c:v>192.61383036388929</c:v>
                </c:pt>
                <c:pt idx="6">
                  <c:v>275.01616890142282</c:v>
                </c:pt>
                <c:pt idx="7">
                  <c:v>364.663542062163</c:v>
                </c:pt>
                <c:pt idx="8">
                  <c:v>454.31091522290302</c:v>
                </c:pt>
                <c:pt idx="9">
                  <c:v>544.13893664931527</c:v>
                </c:pt>
                <c:pt idx="10">
                  <c:v>635.09853517492388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3-4F3A-AD13-773EBE4C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331935"/>
        <c:axId val="344854223"/>
      </c:lineChart>
      <c:catAx>
        <c:axId val="444407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Wind</a:t>
                </a:r>
                <a:r>
                  <a:rPr lang="en-GB" baseline="0"/>
                  <a:t> Generators Firm Capacity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21240463"/>
        <c:crosses val="autoZero"/>
        <c:auto val="1"/>
        <c:lblAlgn val="ctr"/>
        <c:lblOffset val="100"/>
        <c:noMultiLvlLbl val="0"/>
      </c:catAx>
      <c:valAx>
        <c:axId val="19212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Bid Volume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44407663"/>
        <c:crosses val="autoZero"/>
        <c:crossBetween val="between"/>
      </c:valAx>
      <c:valAx>
        <c:axId val="3448542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Curtailment Cost [mu]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36331935"/>
        <c:crosses val="max"/>
        <c:crossBetween val="between"/>
      </c:valAx>
      <c:catAx>
        <c:axId val="1936331935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344854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W1.1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(pro-rata)'!$G$6:$G$16</c:f>
              <c:numCache>
                <c:formatCode>General</c:formatCode>
                <c:ptCount val="11"/>
                <c:pt idx="0" formatCode="0.0">
                  <c:v>34.129967393751151</c:v>
                </c:pt>
                <c:pt idx="1">
                  <c:v>35.659638112598387</c:v>
                </c:pt>
                <c:pt idx="2">
                  <c:v>85.745734803435099</c:v>
                </c:pt>
                <c:pt idx="3">
                  <c:v>135.8318314942712</c:v>
                </c:pt>
                <c:pt idx="4">
                  <c:v>178.2559672619042</c:v>
                </c:pt>
                <c:pt idx="5">
                  <c:v>150</c:v>
                </c:pt>
                <c:pt idx="6">
                  <c:v>120</c:v>
                </c:pt>
                <c:pt idx="7">
                  <c:v>90</c:v>
                </c:pt>
                <c:pt idx="8">
                  <c:v>60</c:v>
                </c:pt>
                <c:pt idx="9">
                  <c:v>34.129967393751457</c:v>
                </c:pt>
                <c:pt idx="10">
                  <c:v>34.12996739375118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E-4D66-8B8C-63B9439C08EA}"/>
            </c:ext>
          </c:extLst>
        </c:ser>
        <c:ser>
          <c:idx val="1"/>
          <c:order val="1"/>
          <c:tx>
            <c:v>W1.2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(pro-rata)'!$H$6:$H$16</c:f>
              <c:numCache>
                <c:formatCode>General</c:formatCode>
                <c:ptCount val="11"/>
                <c:pt idx="0" formatCode="0.0">
                  <c:v>34.129967393751151</c:v>
                </c:pt>
                <c:pt idx="1">
                  <c:v>35.659638112598387</c:v>
                </c:pt>
                <c:pt idx="2">
                  <c:v>85.745734803435099</c:v>
                </c:pt>
                <c:pt idx="3">
                  <c:v>135.8318314942712</c:v>
                </c:pt>
                <c:pt idx="4">
                  <c:v>178.2559672619042</c:v>
                </c:pt>
                <c:pt idx="5">
                  <c:v>150</c:v>
                </c:pt>
                <c:pt idx="6">
                  <c:v>120</c:v>
                </c:pt>
                <c:pt idx="7">
                  <c:v>90</c:v>
                </c:pt>
                <c:pt idx="8">
                  <c:v>60</c:v>
                </c:pt>
                <c:pt idx="9">
                  <c:v>34.129967393751478</c:v>
                </c:pt>
                <c:pt idx="10">
                  <c:v>34.12996739375118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E-4D66-8B8C-63B9439C08EA}"/>
            </c:ext>
          </c:extLst>
        </c:ser>
        <c:ser>
          <c:idx val="2"/>
          <c:order val="2"/>
          <c:tx>
            <c:v>W2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(pro-rata)'!$I$6:$I$16</c:f>
              <c:numCache>
                <c:formatCode>General</c:formatCode>
                <c:ptCount val="11"/>
                <c:pt idx="0" formatCode="0.0">
                  <c:v>270.91622475292291</c:v>
                </c:pt>
                <c:pt idx="1">
                  <c:v>270</c:v>
                </c:pt>
                <c:pt idx="2">
                  <c:v>240</c:v>
                </c:pt>
                <c:pt idx="3">
                  <c:v>210</c:v>
                </c:pt>
                <c:pt idx="4">
                  <c:v>180</c:v>
                </c:pt>
                <c:pt idx="5">
                  <c:v>200.1674473062306</c:v>
                </c:pt>
                <c:pt idx="6">
                  <c:v>219.48277019388959</c:v>
                </c:pt>
                <c:pt idx="7">
                  <c:v>237.4518286644545</c:v>
                </c:pt>
                <c:pt idx="8">
                  <c:v>255.42088713501951</c:v>
                </c:pt>
                <c:pt idx="9">
                  <c:v>270.91622475292297</c:v>
                </c:pt>
                <c:pt idx="10">
                  <c:v>270.91622475292291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E-4D66-8B8C-63B9439C08EA}"/>
            </c:ext>
          </c:extLst>
        </c:ser>
        <c:ser>
          <c:idx val="3"/>
          <c:order val="3"/>
          <c:tx>
            <c:v>W3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(pro-rata)'!$J$6:$J$16</c:f>
              <c:numCache>
                <c:formatCode>General</c:formatCode>
                <c:ptCount val="11"/>
                <c:pt idx="0" formatCode="0.0">
                  <c:v>152.44729838544609</c:v>
                </c:pt>
                <c:pt idx="1">
                  <c:v>152.23905637326391</c:v>
                </c:pt>
                <c:pt idx="2">
                  <c:v>145.42057614169309</c:v>
                </c:pt>
                <c:pt idx="3">
                  <c:v>138.60209591012261</c:v>
                </c:pt>
                <c:pt idx="4">
                  <c:v>178.2559672619042</c:v>
                </c:pt>
                <c:pt idx="5">
                  <c:v>150</c:v>
                </c:pt>
                <c:pt idx="6">
                  <c:v>140.7573652803747</c:v>
                </c:pt>
                <c:pt idx="7">
                  <c:v>144.84142094575739</c:v>
                </c:pt>
                <c:pt idx="8">
                  <c:v>148.92547661113949</c:v>
                </c:pt>
                <c:pt idx="9">
                  <c:v>152.44729838544581</c:v>
                </c:pt>
                <c:pt idx="10">
                  <c:v>152.44729838544609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BE-4D66-8B8C-63B9439C08EA}"/>
            </c:ext>
          </c:extLst>
        </c:ser>
        <c:ser>
          <c:idx val="4"/>
          <c:order val="4"/>
          <c:tx>
            <c:v>W5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(pro-rata)'!$K$6:$K$16</c:f>
              <c:numCache>
                <c:formatCode>General</c:formatCode>
                <c:ptCount val="11"/>
                <c:pt idx="0" formatCode="0.0">
                  <c:v>270.91622475292291</c:v>
                </c:pt>
                <c:pt idx="1">
                  <c:v>270</c:v>
                </c:pt>
                <c:pt idx="2">
                  <c:v>240</c:v>
                </c:pt>
                <c:pt idx="3">
                  <c:v>210</c:v>
                </c:pt>
                <c:pt idx="4">
                  <c:v>180</c:v>
                </c:pt>
                <c:pt idx="5">
                  <c:v>200.1674473062306</c:v>
                </c:pt>
                <c:pt idx="6">
                  <c:v>219.48277019388971</c:v>
                </c:pt>
                <c:pt idx="7">
                  <c:v>237.4518286644545</c:v>
                </c:pt>
                <c:pt idx="8">
                  <c:v>255.4208871350194</c:v>
                </c:pt>
                <c:pt idx="9">
                  <c:v>270.91622475292229</c:v>
                </c:pt>
                <c:pt idx="10">
                  <c:v>270.91622475292291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BE-4D66-8B8C-63B9439C08EA}"/>
            </c:ext>
          </c:extLst>
        </c:ser>
        <c:ser>
          <c:idx val="5"/>
          <c:order val="5"/>
          <c:tx>
            <c:v>W7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(pro-rata)'!$L$6:$L$16</c:f>
              <c:numCache>
                <c:formatCode>General</c:formatCode>
                <c:ptCount val="11"/>
                <c:pt idx="0" formatCode="0.0">
                  <c:v>270.9162247529228</c:v>
                </c:pt>
                <c:pt idx="1">
                  <c:v>270</c:v>
                </c:pt>
                <c:pt idx="2">
                  <c:v>240</c:v>
                </c:pt>
                <c:pt idx="3">
                  <c:v>210</c:v>
                </c:pt>
                <c:pt idx="4">
                  <c:v>180</c:v>
                </c:pt>
                <c:pt idx="5">
                  <c:v>200.1674473062306</c:v>
                </c:pt>
                <c:pt idx="6">
                  <c:v>219.48277019388971</c:v>
                </c:pt>
                <c:pt idx="7">
                  <c:v>237.4518286644545</c:v>
                </c:pt>
                <c:pt idx="8">
                  <c:v>255.4208871350194</c:v>
                </c:pt>
                <c:pt idx="9">
                  <c:v>270.91622475292257</c:v>
                </c:pt>
                <c:pt idx="10">
                  <c:v>270.91622475292291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BE-4D66-8B8C-63B9439C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461535"/>
        <c:axId val="1921217423"/>
      </c:barChart>
      <c:catAx>
        <c:axId val="9764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21217423"/>
        <c:crosses val="autoZero"/>
        <c:auto val="1"/>
        <c:lblAlgn val="ctr"/>
        <c:lblOffset val="100"/>
        <c:noMultiLvlLbl val="0"/>
      </c:catAx>
      <c:valAx>
        <c:axId val="19212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764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Aptos" panose="020B00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South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(pro-rata)'!$AK$6:$AK$16</c:f>
              <c:numCache>
                <c:formatCode>General</c:formatCode>
                <c:ptCount val="11"/>
                <c:pt idx="0">
                  <c:v>0.1137665579791705</c:v>
                </c:pt>
                <c:pt idx="1">
                  <c:v>0.118865460375328</c:v>
                </c:pt>
                <c:pt idx="2">
                  <c:v>0.28581911601145032</c:v>
                </c:pt>
                <c:pt idx="3">
                  <c:v>0.45277277164757068</c:v>
                </c:pt>
                <c:pt idx="4">
                  <c:v>0.59418655753968064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</c:v>
                </c:pt>
                <c:pt idx="9">
                  <c:v>0.1137665579791715</c:v>
                </c:pt>
                <c:pt idx="10">
                  <c:v>0.1137665579791706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E-4D66-8B8C-63B9439C08EA}"/>
            </c:ext>
          </c:extLst>
        </c:ser>
        <c:ser>
          <c:idx val="1"/>
          <c:order val="1"/>
          <c:tx>
            <c:v>13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(pro-rata)'!$AL$6:$AL$16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6.2893048945583452E-2</c:v>
                </c:pt>
                <c:pt idx="4">
                  <c:v>0.59418655753968064</c:v>
                </c:pt>
                <c:pt idx="5">
                  <c:v>0.5</c:v>
                </c:pt>
                <c:pt idx="6">
                  <c:v>0.4</c:v>
                </c:pt>
                <c:pt idx="7">
                  <c:v>0</c:v>
                </c:pt>
                <c:pt idx="8">
                  <c:v>0.2</c:v>
                </c:pt>
                <c:pt idx="9">
                  <c:v>0.1137665579791715</c:v>
                </c:pt>
                <c:pt idx="10">
                  <c:v>0.1137665579791706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E-4D66-8B8C-63B9439C08EA}"/>
            </c:ext>
          </c:extLst>
        </c:ser>
        <c:ser>
          <c:idx val="2"/>
          <c:order val="2"/>
          <c:tx>
            <c:v>257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(pro-rata)'!$AM$6:$AM$16</c:f>
              <c:numCache>
                <c:formatCode>General</c:formatCode>
                <c:ptCount val="11"/>
                <c:pt idx="0">
                  <c:v>0.90305408250974295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0.66722482435410202</c:v>
                </c:pt>
                <c:pt idx="6">
                  <c:v>0.7316092339796324</c:v>
                </c:pt>
                <c:pt idx="7">
                  <c:v>0.79150609554818174</c:v>
                </c:pt>
                <c:pt idx="8">
                  <c:v>0.85140295711673142</c:v>
                </c:pt>
                <c:pt idx="9">
                  <c:v>0.90305408250974095</c:v>
                </c:pt>
                <c:pt idx="10">
                  <c:v>0.90305408250974273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E-4D66-8B8C-63B9439C08EA}"/>
            </c:ext>
          </c:extLst>
        </c:ser>
        <c:ser>
          <c:idx val="3"/>
          <c:order val="3"/>
          <c:tx>
            <c:v>2357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(pro-rata)'!$AN$6:$AN$16</c:f>
              <c:numCache>
                <c:formatCode>General</c:formatCode>
                <c:ptCount val="11"/>
                <c:pt idx="0">
                  <c:v>0.50815766128482032</c:v>
                </c:pt>
                <c:pt idx="1">
                  <c:v>0.50746352124421312</c:v>
                </c:pt>
                <c:pt idx="2">
                  <c:v>0.48473525380564358</c:v>
                </c:pt>
                <c:pt idx="3">
                  <c:v>0.46200698636707532</c:v>
                </c:pt>
                <c:pt idx="4">
                  <c:v>0.54808869334098564</c:v>
                </c:pt>
                <c:pt idx="5">
                  <c:v>0.5</c:v>
                </c:pt>
                <c:pt idx="6">
                  <c:v>0.46919121760124888</c:v>
                </c:pt>
                <c:pt idx="7">
                  <c:v>0.48280473648585798</c:v>
                </c:pt>
                <c:pt idx="8">
                  <c:v>0.49641825537046508</c:v>
                </c:pt>
                <c:pt idx="9">
                  <c:v>0.50815766128481943</c:v>
                </c:pt>
                <c:pt idx="10">
                  <c:v>0.50815766128482032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BE-4D66-8B8C-63B9439C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461535"/>
        <c:axId val="1921217423"/>
      </c:barChart>
      <c:catAx>
        <c:axId val="9764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21217423"/>
        <c:crosses val="autoZero"/>
        <c:auto val="1"/>
        <c:lblAlgn val="ctr"/>
        <c:lblOffset val="100"/>
        <c:noMultiLvlLbl val="0"/>
      </c:catAx>
      <c:valAx>
        <c:axId val="19212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764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Aptos" panose="020B00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Bid Volume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'varying prosumer capacity'!$D$12:$D$28</c:f>
              <c:numCache>
                <c:formatCode>General</c:formatCode>
                <c:ptCount val="17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240</c:v>
                </c:pt>
                <c:pt idx="13">
                  <c:v>250</c:v>
                </c:pt>
                <c:pt idx="14">
                  <c:v>300</c:v>
                </c:pt>
                <c:pt idx="15">
                  <c:v>500</c:v>
                </c:pt>
                <c:pt idx="16">
                  <c:v>1000</c:v>
                </c:pt>
              </c:numCache>
            </c:numRef>
          </c:xVal>
          <c:yVal>
            <c:numRef>
              <c:f>'varying prosumer capacity'!$E$12:$E$28</c:f>
              <c:numCache>
                <c:formatCode>General</c:formatCode>
                <c:ptCount val="17"/>
                <c:pt idx="0">
                  <c:v>1033.4559074317201</c:v>
                </c:pt>
                <c:pt idx="1">
                  <c:v>983.45590743171692</c:v>
                </c:pt>
                <c:pt idx="2">
                  <c:v>783.45590743171704</c:v>
                </c:pt>
                <c:pt idx="3">
                  <c:v>534.51854837522399</c:v>
                </c:pt>
                <c:pt idx="4">
                  <c:v>410.35553542644448</c:v>
                </c:pt>
                <c:pt idx="5">
                  <c:v>289.30907369921101</c:v>
                </c:pt>
                <c:pt idx="6">
                  <c:v>191.8477506110049</c:v>
                </c:pt>
                <c:pt idx="7">
                  <c:v>94.386427522798698</c:v>
                </c:pt>
                <c:pt idx="8">
                  <c:v>55.401898287513497</c:v>
                </c:pt>
                <c:pt idx="9">
                  <c:v>35.909633669874751</c:v>
                </c:pt>
                <c:pt idx="10">
                  <c:v>16.417369052233791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5-41D8-8493-B4B5D729E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090624"/>
        <c:axId val="2023431664"/>
      </c:scatterChart>
      <c:scatterChart>
        <c:scatterStyle val="smoothMarker"/>
        <c:varyColors val="0"/>
        <c:ser>
          <c:idx val="1"/>
          <c:order val="1"/>
          <c:tx>
            <c:v>Curtailment Cost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'varying prosumer capacity'!$D$12:$D$28</c:f>
              <c:numCache>
                <c:formatCode>General</c:formatCode>
                <c:ptCount val="17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240</c:v>
                </c:pt>
                <c:pt idx="13">
                  <c:v>250</c:v>
                </c:pt>
                <c:pt idx="14">
                  <c:v>300</c:v>
                </c:pt>
                <c:pt idx="15">
                  <c:v>500</c:v>
                </c:pt>
                <c:pt idx="16">
                  <c:v>1000</c:v>
                </c:pt>
              </c:numCache>
            </c:numRef>
          </c:xVal>
          <c:yVal>
            <c:numRef>
              <c:f>'varying prosumer capacity'!$F$12:$F$28</c:f>
              <c:numCache>
                <c:formatCode>General</c:formatCode>
                <c:ptCount val="17"/>
                <c:pt idx="0">
                  <c:v>635.098535174924</c:v>
                </c:pt>
                <c:pt idx="1">
                  <c:v>610.04635986419703</c:v>
                </c:pt>
                <c:pt idx="2">
                  <c:v>509.691205351853</c:v>
                </c:pt>
                <c:pt idx="3">
                  <c:v>384.94143085566401</c:v>
                </c:pt>
                <c:pt idx="4">
                  <c:v>322.76621985414619</c:v>
                </c:pt>
                <c:pt idx="5">
                  <c:v>262.16184301783602</c:v>
                </c:pt>
                <c:pt idx="6">
                  <c:v>213.44507492969311</c:v>
                </c:pt>
                <c:pt idx="7">
                  <c:v>164.72830684154999</c:v>
                </c:pt>
                <c:pt idx="8">
                  <c:v>145.241599606291</c:v>
                </c:pt>
                <c:pt idx="9">
                  <c:v>135.49824598866451</c:v>
                </c:pt>
                <c:pt idx="10">
                  <c:v>125.7548923710351</c:v>
                </c:pt>
                <c:pt idx="11">
                  <c:v>114.591262206848</c:v>
                </c:pt>
                <c:pt idx="12">
                  <c:v>115.33453302122</c:v>
                </c:pt>
                <c:pt idx="13">
                  <c:v>114.5912622068476</c:v>
                </c:pt>
                <c:pt idx="14">
                  <c:v>105.5899519648831</c:v>
                </c:pt>
                <c:pt idx="15">
                  <c:v>105.32067007156679</c:v>
                </c:pt>
                <c:pt idx="16">
                  <c:v>105.32067007156679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15-41D8-8493-B4B5D729E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92463"/>
        <c:axId val="100691503"/>
      </c:scatterChart>
      <c:valAx>
        <c:axId val="745090624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23431664"/>
        <c:crosses val="autoZero"/>
        <c:crossBetween val="midCat"/>
      </c:valAx>
      <c:valAx>
        <c:axId val="20234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Wind Bid</a:t>
                </a:r>
                <a:r>
                  <a:rPr lang="en-GB" baseline="0"/>
                  <a:t> Volume </a:t>
                </a:r>
                <a:r>
                  <a:rPr lang="en-GB"/>
                  <a:t>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5090624"/>
        <c:crosses val="autoZero"/>
        <c:crossBetween val="midCat"/>
      </c:valAx>
      <c:valAx>
        <c:axId val="100691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Curtailment Cost [mu]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0692463"/>
        <c:crosses val="max"/>
        <c:crossBetween val="midCat"/>
      </c:valAx>
      <c:valAx>
        <c:axId val="100692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69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Aptos" panose="020B0004020202020204" pitchFamily="34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Pre-Curtailment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plus"/>
            <c:errValType val="cust"/>
            <c:noEndCap val="1"/>
            <c:plus>
              <c:numRef>
                <c:f>'D04'!$C$14:$J$14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-144.41378547777009</c:v>
                  </c:pt>
                  <c:pt idx="2">
                    <c:v>-137.40005426280308</c:v>
                  </c:pt>
                  <c:pt idx="3">
                    <c:v>-336.08616025942683</c:v>
                  </c:pt>
                  <c:pt idx="4">
                    <c:v>-345.1</c:v>
                  </c:pt>
                  <c:pt idx="5">
                    <c:v>356.68705722519633</c:v>
                  </c:pt>
                  <c:pt idx="6">
                    <c:v>257.71452556689849</c:v>
                  </c:pt>
                  <c:pt idx="7">
                    <c:v>348.59841720790519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rgbClr val="C00000"/>
                </a:solidFill>
                <a:round/>
                <a:tailEnd type="triangle"/>
              </a:ln>
              <a:effectLst/>
            </c:spPr>
          </c:errBars>
          <c:cat>
            <c:strRef>
              <c:f>'D04'!$C$11:$J$11</c:f>
              <c:strCache>
                <c:ptCount val="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P5</c:v>
                </c:pt>
                <c:pt idx="4">
                  <c:v>P7</c:v>
                </c:pt>
                <c:pt idx="5">
                  <c:v>P11</c:v>
                </c:pt>
                <c:pt idx="6">
                  <c:v>P12</c:v>
                </c:pt>
                <c:pt idx="7">
                  <c:v>P24</c:v>
                </c:pt>
              </c:strCache>
            </c:strRef>
          </c:cat>
          <c:val>
            <c:numRef>
              <c:f>'D04'!$C$12:$J$12</c:f>
              <c:numCache>
                <c:formatCode>General</c:formatCode>
                <c:ptCount val="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-200</c:v>
                </c:pt>
                <c:pt idx="6">
                  <c:v>-200</c:v>
                </c:pt>
                <c:pt idx="7">
                  <c:v>-200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6-4656-B8EC-84BB9DC1955A}"/>
            </c:ext>
          </c:extLst>
        </c:ser>
        <c:ser>
          <c:idx val="1"/>
          <c:order val="1"/>
          <c:tx>
            <c:v>Post-Curtailment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367723957896115E-2"/>
                  <c:y val="-4.8237399224422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A6-4656-B8EC-84BB9DC1955A}"/>
                </c:ext>
              </c:extLst>
            </c:dLbl>
            <c:dLbl>
              <c:idx val="6"/>
              <c:layout>
                <c:manualLayout>
                  <c:x val="-3.6613748986845607E-2"/>
                  <c:y val="-4.4497335425413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A6-4656-B8EC-84BB9DC1955A}"/>
                </c:ext>
              </c:extLst>
            </c:dLbl>
            <c:dLbl>
              <c:idx val="7"/>
              <c:layout>
                <c:manualLayout>
                  <c:x val="-4.6322741673386507E-2"/>
                  <c:y val="-5.1977463023432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A6-4656-B8EC-84BB9DC1955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'D04'!$C$11:$J$11</c:f>
              <c:strCache>
                <c:ptCount val="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P5</c:v>
                </c:pt>
                <c:pt idx="4">
                  <c:v>P7</c:v>
                </c:pt>
                <c:pt idx="5">
                  <c:v>P11</c:v>
                </c:pt>
                <c:pt idx="6">
                  <c:v>P12</c:v>
                </c:pt>
                <c:pt idx="7">
                  <c:v>P24</c:v>
                </c:pt>
              </c:strCache>
            </c:strRef>
          </c:cat>
          <c:val>
            <c:numRef>
              <c:f>'D04'!$C$13:$J$13</c:f>
              <c:numCache>
                <c:formatCode>General</c:formatCode>
                <c:ptCount val="8"/>
                <c:pt idx="0">
                  <c:v>0.1</c:v>
                </c:pt>
                <c:pt idx="1">
                  <c:v>-144.3137854777701</c:v>
                </c:pt>
                <c:pt idx="2">
                  <c:v>-137.30005426280309</c:v>
                </c:pt>
                <c:pt idx="3">
                  <c:v>-335.98616025942681</c:v>
                </c:pt>
                <c:pt idx="4">
                  <c:v>-345</c:v>
                </c:pt>
                <c:pt idx="5">
                  <c:v>156.6870572251963</c:v>
                </c:pt>
                <c:pt idx="6">
                  <c:v>57.714525566898473</c:v>
                </c:pt>
                <c:pt idx="7">
                  <c:v>148.59841720790519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6-4656-B8EC-84BB9DC19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905215"/>
        <c:axId val="100899343"/>
      </c:lineChart>
      <c:catAx>
        <c:axId val="4739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0899343"/>
        <c:crosses val="autoZero"/>
        <c:auto val="1"/>
        <c:lblAlgn val="ctr"/>
        <c:lblOffset val="100"/>
        <c:noMultiLvlLbl val="0"/>
      </c:catAx>
      <c:valAx>
        <c:axId val="10089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Prosumer Net 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7390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Aptos" panose="020B00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South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(pro-rata)'!$AK$6:$AK$16</c:f>
              <c:numCache>
                <c:formatCode>General</c:formatCode>
                <c:ptCount val="11"/>
                <c:pt idx="0">
                  <c:v>0.1137665579791705</c:v>
                </c:pt>
                <c:pt idx="1">
                  <c:v>0.118865460375328</c:v>
                </c:pt>
                <c:pt idx="2">
                  <c:v>0.28581911601145032</c:v>
                </c:pt>
                <c:pt idx="3">
                  <c:v>0.45277277164757068</c:v>
                </c:pt>
                <c:pt idx="4">
                  <c:v>0.59418655753968064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</c:v>
                </c:pt>
                <c:pt idx="9">
                  <c:v>0.1137665579791715</c:v>
                </c:pt>
                <c:pt idx="10">
                  <c:v>0.1137665579791706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1-4115-8FCF-65F56B2CDB9C}"/>
            </c:ext>
          </c:extLst>
        </c:ser>
        <c:ser>
          <c:idx val="1"/>
          <c:order val="1"/>
          <c:tx>
            <c:v>13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(pro-rata)'!$AL$6:$AL$16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6.2893048945583452E-2</c:v>
                </c:pt>
                <c:pt idx="4">
                  <c:v>0.59418655753968064</c:v>
                </c:pt>
                <c:pt idx="5">
                  <c:v>0.5</c:v>
                </c:pt>
                <c:pt idx="6">
                  <c:v>0.4</c:v>
                </c:pt>
                <c:pt idx="7">
                  <c:v>0</c:v>
                </c:pt>
                <c:pt idx="8">
                  <c:v>0.2</c:v>
                </c:pt>
                <c:pt idx="9">
                  <c:v>0.1137665579791715</c:v>
                </c:pt>
                <c:pt idx="10">
                  <c:v>0.1137665579791706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1-4115-8FCF-65F56B2CDB9C}"/>
            </c:ext>
          </c:extLst>
        </c:ser>
        <c:ser>
          <c:idx val="2"/>
          <c:order val="2"/>
          <c:tx>
            <c:v>257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(pro-rata)'!$AM$6:$AM$16</c:f>
              <c:numCache>
                <c:formatCode>General</c:formatCode>
                <c:ptCount val="11"/>
                <c:pt idx="0">
                  <c:v>0.90305408250974295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0.66722482435410202</c:v>
                </c:pt>
                <c:pt idx="6">
                  <c:v>0.7316092339796324</c:v>
                </c:pt>
                <c:pt idx="7">
                  <c:v>0.79150609554818174</c:v>
                </c:pt>
                <c:pt idx="8">
                  <c:v>0.85140295711673142</c:v>
                </c:pt>
                <c:pt idx="9">
                  <c:v>0.90305408250974095</c:v>
                </c:pt>
                <c:pt idx="10">
                  <c:v>0.90305408250974273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81-4115-8FCF-65F56B2CDB9C}"/>
            </c:ext>
          </c:extLst>
        </c:ser>
        <c:ser>
          <c:idx val="3"/>
          <c:order val="3"/>
          <c:tx>
            <c:v>2357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'varying wind firm (pro-rata)'!$B$6:$B$16</c:f>
              <c:strCache>
                <c:ptCount val="11"/>
                <c:pt idx="0">
                  <c:v>C06</c:v>
                </c:pt>
                <c:pt idx="1">
                  <c:v>G01</c:v>
                </c:pt>
                <c:pt idx="2">
                  <c:v>G02</c:v>
                </c:pt>
                <c:pt idx="3">
                  <c:v>G03</c:v>
                </c:pt>
                <c:pt idx="4">
                  <c:v>G04</c:v>
                </c:pt>
                <c:pt idx="5">
                  <c:v>G05</c:v>
                </c:pt>
                <c:pt idx="6">
                  <c:v>G06</c:v>
                </c:pt>
                <c:pt idx="7">
                  <c:v>G07</c:v>
                </c:pt>
                <c:pt idx="8">
                  <c:v>G08</c:v>
                </c:pt>
                <c:pt idx="9">
                  <c:v>G09</c:v>
                </c:pt>
                <c:pt idx="10">
                  <c:v>G10</c:v>
                </c:pt>
              </c:strCache>
            </c:strRef>
          </c:cat>
          <c:val>
            <c:numRef>
              <c:f>'varying wind firm (pro-rata)'!$AN$6:$AN$16</c:f>
              <c:numCache>
                <c:formatCode>General</c:formatCode>
                <c:ptCount val="11"/>
                <c:pt idx="0">
                  <c:v>0.50815766128482032</c:v>
                </c:pt>
                <c:pt idx="1">
                  <c:v>0.50746352124421312</c:v>
                </c:pt>
                <c:pt idx="2">
                  <c:v>0.48473525380564358</c:v>
                </c:pt>
                <c:pt idx="3">
                  <c:v>0.46200698636707532</c:v>
                </c:pt>
                <c:pt idx="4">
                  <c:v>0.54808869334098564</c:v>
                </c:pt>
                <c:pt idx="5">
                  <c:v>0.5</c:v>
                </c:pt>
                <c:pt idx="6">
                  <c:v>0.46919121760124888</c:v>
                </c:pt>
                <c:pt idx="7">
                  <c:v>0.48280473648585798</c:v>
                </c:pt>
                <c:pt idx="8">
                  <c:v>0.49641825537046508</c:v>
                </c:pt>
                <c:pt idx="9">
                  <c:v>0.50815766128481943</c:v>
                </c:pt>
                <c:pt idx="10">
                  <c:v>0.50815766128482032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81-4115-8FCF-65F56B2CD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461535"/>
        <c:axId val="1921217423"/>
      </c:barChart>
      <c:catAx>
        <c:axId val="9764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21217423"/>
        <c:crosses val="autoZero"/>
        <c:auto val="1"/>
        <c:lblAlgn val="ctr"/>
        <c:lblOffset val="100"/>
        <c:noMultiLvlLbl val="0"/>
      </c:catAx>
      <c:valAx>
        <c:axId val="19212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764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Aptos" panose="020B00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11</xdr:row>
      <xdr:rowOff>100011</xdr:rowOff>
    </xdr:from>
    <xdr:to>
      <xdr:col>10</xdr:col>
      <xdr:colOff>76200</xdr:colOff>
      <xdr:row>30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C7CEC7-56F5-2F73-C740-AB5A7361E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114299</xdr:colOff>
      <xdr:row>11</xdr:row>
      <xdr:rowOff>47625</xdr:rowOff>
    </xdr:from>
    <xdr:to>
      <xdr:col>22</xdr:col>
      <xdr:colOff>581024</xdr:colOff>
      <xdr:row>27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8A7765-27E4-4681-B7D2-69AF9A069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428625</xdr:colOff>
      <xdr:row>12</xdr:row>
      <xdr:rowOff>171450</xdr:rowOff>
    </xdr:from>
    <xdr:to>
      <xdr:col>31</xdr:col>
      <xdr:colOff>294682</xdr:colOff>
      <xdr:row>29</xdr:row>
      <xdr:rowOff>37712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2160F4-D98D-1B8A-8408-08A3A4133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20975" y="2457450"/>
          <a:ext cx="4742857" cy="3104762"/>
        </a:xfrm>
        <a:prstGeom prst="rect">
          <a:avLst/>
        </a:prstGeom>
      </xdr:spPr>
    </xdr:pic>
    <xdr:clientData/>
  </xdr:twoCellAnchor>
  <xdr:twoCellAnchor>
    <xdr:from>
      <xdr:col>15</xdr:col>
      <xdr:colOff>142876</xdr:colOff>
      <xdr:row>27</xdr:row>
      <xdr:rowOff>180974</xdr:rowOff>
    </xdr:from>
    <xdr:to>
      <xdr:col>22</xdr:col>
      <xdr:colOff>581025</xdr:colOff>
      <xdr:row>44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16FB8-223E-4648-8A1F-E01D83787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390525</xdr:colOff>
      <xdr:row>30</xdr:row>
      <xdr:rowOff>47625</xdr:rowOff>
    </xdr:from>
    <xdr:to>
      <xdr:col>31</xdr:col>
      <xdr:colOff>218487</xdr:colOff>
      <xdr:row>46</xdr:row>
      <xdr:rowOff>85339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9AC3C0-7773-438A-49D6-C422A290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82875" y="5762625"/>
          <a:ext cx="4704762" cy="30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18</xdr:row>
      <xdr:rowOff>157163</xdr:rowOff>
    </xdr:from>
    <xdr:to>
      <xdr:col>5</xdr:col>
      <xdr:colOff>352425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79295-EF73-4A12-852A-9417CC38E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32</xdr:row>
      <xdr:rowOff>80962</xdr:rowOff>
    </xdr:from>
    <xdr:to>
      <xdr:col>5</xdr:col>
      <xdr:colOff>314324</xdr:colOff>
      <xdr:row>45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61B84-B753-41D9-9885-4D5236B74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45</xdr:row>
      <xdr:rowOff>180975</xdr:rowOff>
    </xdr:from>
    <xdr:to>
      <xdr:col>5</xdr:col>
      <xdr:colOff>295275</xdr:colOff>
      <xdr:row>60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B451F7-D5F6-47BA-B5D2-9D726710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192741</xdr:colOff>
      <xdr:row>29</xdr:row>
      <xdr:rowOff>117661</xdr:rowOff>
    </xdr:from>
    <xdr:to>
      <xdr:col>7</xdr:col>
      <xdr:colOff>87966</xdr:colOff>
      <xdr:row>51</xdr:row>
      <xdr:rowOff>184336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572A45-3523-48F3-B9A8-31FAA9EEC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112230</xdr:colOff>
      <xdr:row>16</xdr:row>
      <xdr:rowOff>155090</xdr:rowOff>
    </xdr:from>
    <xdr:to>
      <xdr:col>6</xdr:col>
      <xdr:colOff>22842</xdr:colOff>
      <xdr:row>31</xdr:row>
      <xdr:rowOff>43356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98C74-3C56-E408-8FAB-C0B6A4BA2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16</xdr:row>
      <xdr:rowOff>95250</xdr:rowOff>
    </xdr:from>
    <xdr:to>
      <xdr:col>12</xdr:col>
      <xdr:colOff>571500</xdr:colOff>
      <xdr:row>30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3EB714-C35C-478F-AFC5-4154F0161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B988-739C-4D81-A946-D35D159556DA}">
  <dimension ref="A2:O40"/>
  <sheetViews>
    <sheetView zoomScale="101" zoomScaleNormal="85" workbookViewId="0">
      <selection activeCell="E34" sqref="E34"/>
    </sheetView>
  </sheetViews>
  <sheetFormatPr defaultRowHeight="15" x14ac:dyDescent="0.25"/>
  <cols>
    <col min="3" max="3" width="4.85546875" bestFit="1" customWidth="1"/>
    <col min="4" max="4" width="17.7109375" bestFit="1" customWidth="1"/>
    <col min="5" max="5" width="16.85546875" bestFit="1" customWidth="1"/>
    <col min="6" max="6" width="11.7109375" customWidth="1"/>
  </cols>
  <sheetData>
    <row r="2" spans="1:15" x14ac:dyDescent="0.25">
      <c r="F2" s="13" t="s">
        <v>36</v>
      </c>
      <c r="G2" s="13"/>
      <c r="H2" s="13"/>
      <c r="I2" s="13"/>
      <c r="J2" s="13"/>
      <c r="K2" s="13"/>
      <c r="L2" s="14" t="s">
        <v>41</v>
      </c>
      <c r="M2" s="14"/>
      <c r="N2" s="14"/>
      <c r="O2" s="14"/>
    </row>
    <row r="3" spans="1:15" x14ac:dyDescent="0.25">
      <c r="C3" s="3" t="s">
        <v>8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x14ac:dyDescent="0.25">
      <c r="C4" s="2" t="s">
        <v>1</v>
      </c>
      <c r="D4" s="2">
        <v>997.8469357167553</v>
      </c>
      <c r="E4" s="12">
        <v>101.43004459692</v>
      </c>
      <c r="F4" s="2">
        <v>300</v>
      </c>
      <c r="G4" s="2">
        <v>300</v>
      </c>
      <c r="H4" s="2">
        <v>72.219646606735566</v>
      </c>
      <c r="I4" s="2">
        <v>0</v>
      </c>
      <c r="J4" s="2">
        <v>52.824906363100112</v>
      </c>
      <c r="K4" s="2">
        <v>272.80238274691959</v>
      </c>
      <c r="L4" s="2"/>
      <c r="M4" s="2"/>
      <c r="N4" s="2"/>
      <c r="O4" s="2"/>
    </row>
    <row r="5" spans="1:15" x14ac:dyDescent="0.25">
      <c r="C5" s="2" t="s">
        <v>2</v>
      </c>
      <c r="D5" s="2">
        <v>997.8469357167553</v>
      </c>
      <c r="E5" s="12">
        <v>101.43004459692</v>
      </c>
      <c r="F5" s="2">
        <v>300</v>
      </c>
      <c r="G5" s="2">
        <v>300</v>
      </c>
      <c r="H5" s="2">
        <v>72.219646606735566</v>
      </c>
      <c r="I5" s="2">
        <v>0</v>
      </c>
      <c r="J5" s="2">
        <v>52.824906363100112</v>
      </c>
      <c r="K5" s="2">
        <v>272.80238274691959</v>
      </c>
      <c r="L5" s="2"/>
      <c r="M5" s="2"/>
      <c r="N5" s="2"/>
      <c r="O5" s="2"/>
    </row>
    <row r="6" spans="1:15" x14ac:dyDescent="0.25">
      <c r="C6" s="2" t="s">
        <v>3</v>
      </c>
      <c r="D6" s="2">
        <v>1075.6418577261129</v>
      </c>
      <c r="E6" s="12">
        <v>123.218094397451</v>
      </c>
      <c r="F6" s="2">
        <v>179.27364295435211</v>
      </c>
      <c r="G6" s="2">
        <v>179.27364295435211</v>
      </c>
      <c r="H6" s="2">
        <v>179.27364295435211</v>
      </c>
      <c r="I6" s="2">
        <v>179.27364295435211</v>
      </c>
      <c r="J6" s="2">
        <v>179.27364295435211</v>
      </c>
      <c r="K6" s="2">
        <v>179.27364295435211</v>
      </c>
      <c r="L6" s="2">
        <v>0.59757880984784051</v>
      </c>
      <c r="M6" s="2"/>
      <c r="N6" s="2"/>
      <c r="O6" s="2"/>
    </row>
    <row r="7" spans="1:15" x14ac:dyDescent="0.25">
      <c r="C7" s="2" t="s">
        <v>4</v>
      </c>
      <c r="D7" s="2">
        <v>1040.429026472262</v>
      </c>
      <c r="E7" s="12">
        <v>113.69238870338</v>
      </c>
      <c r="F7" s="2">
        <v>138.2701543655707</v>
      </c>
      <c r="G7" s="2">
        <v>138.2701543655707</v>
      </c>
      <c r="H7" s="2">
        <v>208.5395211251834</v>
      </c>
      <c r="I7" s="2">
        <v>138.2701543655707</v>
      </c>
      <c r="J7" s="2">
        <v>208.5395211251834</v>
      </c>
      <c r="K7" s="2">
        <v>208.53952112518351</v>
      </c>
      <c r="L7" s="2">
        <v>0.46090051455190217</v>
      </c>
      <c r="M7" s="2"/>
      <c r="N7" s="2">
        <v>0.69513173708394493</v>
      </c>
      <c r="O7" s="2"/>
    </row>
    <row r="8" spans="1:15" x14ac:dyDescent="0.25">
      <c r="C8" s="2" t="s">
        <v>5</v>
      </c>
      <c r="D8" s="2">
        <v>1040.4290264722499</v>
      </c>
      <c r="E8" s="12">
        <v>113.69238870337939</v>
      </c>
      <c r="F8" s="2">
        <v>138.27015436556971</v>
      </c>
      <c r="G8" s="2">
        <v>138.27015436556971</v>
      </c>
      <c r="H8" s="2">
        <v>208.53952112518161</v>
      </c>
      <c r="I8" s="2">
        <v>138.27015436556971</v>
      </c>
      <c r="J8" s="2">
        <v>208.53952112518161</v>
      </c>
      <c r="K8" s="2">
        <v>208.53952112518161</v>
      </c>
      <c r="L8" s="2">
        <v>0.46090051455189879</v>
      </c>
      <c r="M8" s="2">
        <v>0</v>
      </c>
      <c r="N8" s="2">
        <v>0.69513173708393872</v>
      </c>
      <c r="O8" s="2"/>
    </row>
    <row r="9" spans="1:15" x14ac:dyDescent="0.25">
      <c r="C9" s="2" t="s">
        <v>27</v>
      </c>
      <c r="D9" s="2">
        <v>1033.4559074317169</v>
      </c>
      <c r="E9" s="12">
        <v>111.8060342869703</v>
      </c>
      <c r="F9" s="2">
        <v>34.129967393751151</v>
      </c>
      <c r="G9" s="2">
        <v>34.129967393751151</v>
      </c>
      <c r="H9" s="2">
        <v>270.91622475292291</v>
      </c>
      <c r="I9" s="2">
        <v>152.44729838544609</v>
      </c>
      <c r="J9" s="2">
        <v>270.91622475292291</v>
      </c>
      <c r="K9" s="2">
        <v>270.9162247529228</v>
      </c>
      <c r="L9" s="2">
        <v>0.1137665579791705</v>
      </c>
      <c r="M9" s="2">
        <v>0</v>
      </c>
      <c r="N9" s="2">
        <v>0.90305408250974295</v>
      </c>
      <c r="O9" s="2">
        <v>0.50815766128482032</v>
      </c>
    </row>
    <row r="10" spans="1:15" x14ac:dyDescent="0.25">
      <c r="C10" s="2" t="s">
        <v>42</v>
      </c>
      <c r="D10" s="2">
        <v>997.8469357167553</v>
      </c>
      <c r="E10" s="12">
        <v>101.43004459692</v>
      </c>
      <c r="F10" s="2">
        <v>300</v>
      </c>
      <c r="G10" s="2">
        <v>300</v>
      </c>
      <c r="H10" s="2">
        <v>72.219646606735566</v>
      </c>
      <c r="I10" s="2">
        <v>0</v>
      </c>
      <c r="J10" s="2">
        <v>52.824906363100112</v>
      </c>
      <c r="K10" s="2">
        <v>272.80238274691959</v>
      </c>
      <c r="L10" s="2"/>
      <c r="M10" s="2"/>
      <c r="N10" s="2"/>
      <c r="O10" s="2"/>
    </row>
    <row r="12" spans="1:15" x14ac:dyDescent="0.25">
      <c r="A12" s="6"/>
      <c r="B12" s="6"/>
    </row>
    <row r="13" spans="1:15" x14ac:dyDescent="0.25">
      <c r="A13" s="6"/>
      <c r="B13" s="6"/>
    </row>
    <row r="15" spans="1:15" x14ac:dyDescent="0.25">
      <c r="B15" s="11"/>
    </row>
    <row r="32" spans="6:15" x14ac:dyDescent="0.25">
      <c r="F32" s="13" t="s">
        <v>36</v>
      </c>
      <c r="G32" s="13"/>
      <c r="H32" s="13"/>
      <c r="I32" s="13"/>
      <c r="J32" s="13"/>
      <c r="K32" s="13"/>
      <c r="L32" s="14" t="s">
        <v>41</v>
      </c>
      <c r="M32" s="14"/>
      <c r="N32" s="14"/>
      <c r="O32" s="14"/>
    </row>
    <row r="33" spans="3:15" x14ac:dyDescent="0.25">
      <c r="C33" s="3" t="s">
        <v>8</v>
      </c>
      <c r="D33" s="3" t="s">
        <v>28</v>
      </c>
      <c r="E33" s="3" t="s">
        <v>29</v>
      </c>
      <c r="F33" s="3" t="s">
        <v>30</v>
      </c>
      <c r="G33" s="3" t="s">
        <v>31</v>
      </c>
      <c r="H33" s="3" t="s">
        <v>32</v>
      </c>
      <c r="I33" s="3" t="s">
        <v>33</v>
      </c>
      <c r="J33" s="3" t="s">
        <v>34</v>
      </c>
      <c r="K33" s="3" t="s">
        <v>35</v>
      </c>
      <c r="L33" s="3" t="s">
        <v>37</v>
      </c>
      <c r="M33" s="3" t="s">
        <v>38</v>
      </c>
      <c r="N33" s="3" t="s">
        <v>39</v>
      </c>
      <c r="O33" s="3" t="s">
        <v>40</v>
      </c>
    </row>
    <row r="34" spans="3:15" x14ac:dyDescent="0.25">
      <c r="C34" s="2" t="s">
        <v>1</v>
      </c>
      <c r="D34" s="2">
        <v>997.8469357167553</v>
      </c>
      <c r="E34" s="2">
        <v>101.43004459692</v>
      </c>
      <c r="F34" s="4">
        <f>F4/300</f>
        <v>1</v>
      </c>
      <c r="G34" s="4">
        <f t="shared" ref="G34:K34" si="0">G4/300</f>
        <v>1</v>
      </c>
      <c r="H34" s="4">
        <f t="shared" si="0"/>
        <v>0.24073215535578521</v>
      </c>
      <c r="I34" s="4">
        <f t="shared" si="0"/>
        <v>0</v>
      </c>
      <c r="J34" s="4">
        <f t="shared" si="0"/>
        <v>0.1760830212103337</v>
      </c>
      <c r="K34" s="4">
        <f t="shared" si="0"/>
        <v>0.90934127582306534</v>
      </c>
      <c r="L34" s="4"/>
      <c r="M34" s="4"/>
      <c r="N34" s="4"/>
      <c r="O34" s="4"/>
    </row>
    <row r="35" spans="3:15" x14ac:dyDescent="0.25">
      <c r="C35" s="2" t="s">
        <v>2</v>
      </c>
      <c r="D35" s="2">
        <v>997.8469357167553</v>
      </c>
      <c r="E35" s="2">
        <v>101.43004459692</v>
      </c>
      <c r="F35" s="4">
        <f t="shared" ref="F35:K35" si="1">F5/300</f>
        <v>1</v>
      </c>
      <c r="G35" s="4">
        <f t="shared" si="1"/>
        <v>1</v>
      </c>
      <c r="H35" s="4">
        <f t="shared" si="1"/>
        <v>0.24073215535578521</v>
      </c>
      <c r="I35" s="4">
        <f t="shared" si="1"/>
        <v>0</v>
      </c>
      <c r="J35" s="4">
        <f t="shared" si="1"/>
        <v>0.1760830212103337</v>
      </c>
      <c r="K35" s="4">
        <f t="shared" si="1"/>
        <v>0.90934127582306534</v>
      </c>
      <c r="L35" s="4"/>
      <c r="M35" s="4"/>
      <c r="N35" s="4"/>
      <c r="O35" s="4"/>
    </row>
    <row r="36" spans="3:15" x14ac:dyDescent="0.25">
      <c r="C36" s="2" t="s">
        <v>3</v>
      </c>
      <c r="D36" s="2">
        <v>1075.6418577261129</v>
      </c>
      <c r="E36" s="2">
        <v>123.218094397451</v>
      </c>
      <c r="F36" s="4">
        <f t="shared" ref="F36:K36" si="2">F6/300</f>
        <v>0.5975788098478404</v>
      </c>
      <c r="G36" s="4">
        <f t="shared" si="2"/>
        <v>0.5975788098478404</v>
      </c>
      <c r="H36" s="4">
        <f t="shared" si="2"/>
        <v>0.5975788098478404</v>
      </c>
      <c r="I36" s="4">
        <f t="shared" si="2"/>
        <v>0.5975788098478404</v>
      </c>
      <c r="J36" s="4">
        <f t="shared" si="2"/>
        <v>0.5975788098478404</v>
      </c>
      <c r="K36" s="4">
        <f t="shared" si="2"/>
        <v>0.5975788098478404</v>
      </c>
      <c r="L36" s="4"/>
      <c r="M36" s="4"/>
      <c r="N36" s="4"/>
      <c r="O36" s="4"/>
    </row>
    <row r="37" spans="3:15" x14ac:dyDescent="0.25">
      <c r="C37" s="2" t="s">
        <v>4</v>
      </c>
      <c r="D37" s="2">
        <v>1040.429026472262</v>
      </c>
      <c r="E37" s="2">
        <v>113.69238870338</v>
      </c>
      <c r="F37" s="4">
        <f t="shared" ref="F37:K37" si="3">F7/300</f>
        <v>0.46090051455190234</v>
      </c>
      <c r="G37" s="4">
        <f t="shared" si="3"/>
        <v>0.46090051455190234</v>
      </c>
      <c r="H37" s="4">
        <f t="shared" si="3"/>
        <v>0.69513173708394471</v>
      </c>
      <c r="I37" s="4">
        <f t="shared" si="3"/>
        <v>0.46090051455190234</v>
      </c>
      <c r="J37" s="4">
        <f t="shared" si="3"/>
        <v>0.69513173708394471</v>
      </c>
      <c r="K37" s="4">
        <f t="shared" si="3"/>
        <v>0.69513173708394504</v>
      </c>
      <c r="L37" s="4">
        <v>0.59757880984784051</v>
      </c>
      <c r="M37" s="4"/>
      <c r="N37" s="4"/>
      <c r="O37" s="4"/>
    </row>
    <row r="38" spans="3:15" x14ac:dyDescent="0.25">
      <c r="C38" s="2" t="s">
        <v>5</v>
      </c>
      <c r="D38" s="2">
        <v>1040.4290264722499</v>
      </c>
      <c r="E38" s="2">
        <v>113.69238870337939</v>
      </c>
      <c r="F38" s="4">
        <f t="shared" ref="F38:K38" si="4">F8/300</f>
        <v>0.46090051455189901</v>
      </c>
      <c r="G38" s="4">
        <f t="shared" si="4"/>
        <v>0.46090051455189901</v>
      </c>
      <c r="H38" s="4">
        <f t="shared" si="4"/>
        <v>0.69513173708393872</v>
      </c>
      <c r="I38" s="4">
        <f t="shared" si="4"/>
        <v>0.46090051455189901</v>
      </c>
      <c r="J38" s="4">
        <f t="shared" si="4"/>
        <v>0.69513173708393872</v>
      </c>
      <c r="K38" s="4">
        <f t="shared" si="4"/>
        <v>0.69513173708393872</v>
      </c>
      <c r="L38" s="4">
        <v>0.46090051455190217</v>
      </c>
      <c r="M38" s="4"/>
      <c r="N38" s="4">
        <v>0.69513173708394493</v>
      </c>
      <c r="O38" s="4"/>
    </row>
    <row r="39" spans="3:15" x14ac:dyDescent="0.25">
      <c r="C39" s="2" t="s">
        <v>27</v>
      </c>
      <c r="D39" s="2">
        <v>1033.4559074317169</v>
      </c>
      <c r="E39" s="2">
        <v>111.8060342869703</v>
      </c>
      <c r="F39" s="4">
        <f t="shared" ref="F39:K39" si="5">F9/300</f>
        <v>0.1137665579791705</v>
      </c>
      <c r="G39" s="4">
        <f t="shared" si="5"/>
        <v>0.1137665579791705</v>
      </c>
      <c r="H39" s="4">
        <f t="shared" si="5"/>
        <v>0.90305408250974306</v>
      </c>
      <c r="I39" s="4">
        <f t="shared" si="5"/>
        <v>0.50815766128482032</v>
      </c>
      <c r="J39" s="4">
        <f t="shared" si="5"/>
        <v>0.90305408250974306</v>
      </c>
      <c r="K39" s="4">
        <f t="shared" si="5"/>
        <v>0.90305408250974262</v>
      </c>
      <c r="L39" s="4">
        <v>0.46090051455189879</v>
      </c>
      <c r="M39" s="4">
        <v>0</v>
      </c>
      <c r="N39" s="4">
        <v>0.69513173708393872</v>
      </c>
      <c r="O39" s="4"/>
    </row>
    <row r="40" spans="3:15" x14ac:dyDescent="0.25">
      <c r="C40" s="2" t="s">
        <v>42</v>
      </c>
      <c r="D40" s="2">
        <v>997.8469357167553</v>
      </c>
      <c r="E40" s="2">
        <v>101.43004459692</v>
      </c>
      <c r="F40" s="4">
        <f t="shared" ref="F40:K40" si="6">F10/300</f>
        <v>1</v>
      </c>
      <c r="G40" s="4">
        <f t="shared" si="6"/>
        <v>1</v>
      </c>
      <c r="H40" s="4">
        <f t="shared" si="6"/>
        <v>0.24073215535578521</v>
      </c>
      <c r="I40" s="4">
        <f t="shared" si="6"/>
        <v>0</v>
      </c>
      <c r="J40" s="4">
        <f t="shared" si="6"/>
        <v>0.1760830212103337</v>
      </c>
      <c r="K40" s="4">
        <f t="shared" si="6"/>
        <v>0.90934127582306534</v>
      </c>
      <c r="L40" s="4">
        <v>0.1137665579791705</v>
      </c>
      <c r="M40" s="4">
        <v>0</v>
      </c>
      <c r="N40" s="4">
        <v>0.90305408250974295</v>
      </c>
      <c r="O40" s="4">
        <v>0.50815766128482032</v>
      </c>
    </row>
  </sheetData>
  <mergeCells count="4">
    <mergeCell ref="F2:K2"/>
    <mergeCell ref="L2:O2"/>
    <mergeCell ref="F32:K32"/>
    <mergeCell ref="L32:O3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E9D5-67FA-4C0D-A54A-3075ADC33B84}">
  <dimension ref="A4:AN19"/>
  <sheetViews>
    <sheetView tabSelected="1" topLeftCell="A4" zoomScale="91" zoomScaleNormal="70" workbookViewId="0">
      <selection activeCell="Q13" sqref="Q13"/>
    </sheetView>
  </sheetViews>
  <sheetFormatPr defaultRowHeight="15" x14ac:dyDescent="0.25"/>
  <cols>
    <col min="2" max="2" width="4.85546875" bestFit="1" customWidth="1"/>
    <col min="3" max="3" width="16.5703125" bestFit="1" customWidth="1"/>
    <col min="4" max="5" width="16.5703125" customWidth="1"/>
    <col min="6" max="6" width="16" bestFit="1" customWidth="1"/>
    <col min="7" max="37" width="12" bestFit="1" customWidth="1"/>
    <col min="38" max="38" width="7" customWidth="1"/>
    <col min="39" max="40" width="12" bestFit="1" customWidth="1"/>
  </cols>
  <sheetData>
    <row r="4" spans="1:40" x14ac:dyDescent="0.25">
      <c r="G4" s="13" t="s">
        <v>45</v>
      </c>
      <c r="H4" s="13"/>
      <c r="I4" s="13"/>
      <c r="J4" s="13"/>
      <c r="K4" s="13"/>
      <c r="L4" s="13"/>
      <c r="M4" s="13" t="s">
        <v>46</v>
      </c>
      <c r="N4" s="13"/>
      <c r="O4" s="13"/>
      <c r="P4" s="13"/>
      <c r="Q4" s="13"/>
      <c r="R4" s="13"/>
      <c r="S4" s="13" t="s">
        <v>58</v>
      </c>
      <c r="T4" s="13"/>
      <c r="U4" s="13"/>
      <c r="V4" s="13"/>
      <c r="W4" s="13"/>
      <c r="X4" s="13"/>
      <c r="Y4" s="13" t="s">
        <v>59</v>
      </c>
      <c r="Z4" s="13"/>
      <c r="AA4" s="13"/>
      <c r="AB4" s="13"/>
      <c r="AC4" s="13"/>
      <c r="AD4" s="13"/>
      <c r="AE4" s="13" t="s">
        <v>47</v>
      </c>
      <c r="AF4" s="13"/>
      <c r="AG4" s="13"/>
      <c r="AH4" s="13"/>
      <c r="AI4" s="13"/>
      <c r="AJ4" s="13"/>
      <c r="AK4" s="14" t="s">
        <v>41</v>
      </c>
      <c r="AL4" s="14"/>
      <c r="AM4" s="14"/>
      <c r="AN4" s="14"/>
    </row>
    <row r="5" spans="1:40" x14ac:dyDescent="0.25">
      <c r="B5" s="3" t="s">
        <v>8</v>
      </c>
      <c r="C5" s="3" t="s">
        <v>28</v>
      </c>
      <c r="D5" s="3" t="s">
        <v>43</v>
      </c>
      <c r="E5" s="3" t="s">
        <v>44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30</v>
      </c>
      <c r="T5" s="3" t="s">
        <v>31</v>
      </c>
      <c r="U5" s="3" t="s">
        <v>32</v>
      </c>
      <c r="V5" s="3" t="s">
        <v>33</v>
      </c>
      <c r="W5" s="3" t="s">
        <v>34</v>
      </c>
      <c r="X5" s="3" t="s">
        <v>35</v>
      </c>
      <c r="Y5" s="3" t="s">
        <v>30</v>
      </c>
      <c r="Z5" s="3" t="s">
        <v>31</v>
      </c>
      <c r="AA5" s="3" t="s">
        <v>32</v>
      </c>
      <c r="AB5" s="3" t="s">
        <v>33</v>
      </c>
      <c r="AC5" s="3" t="s">
        <v>34</v>
      </c>
      <c r="AD5" s="3" t="s">
        <v>35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37</v>
      </c>
      <c r="AL5" s="3" t="s">
        <v>38</v>
      </c>
      <c r="AM5" s="3" t="s">
        <v>39</v>
      </c>
      <c r="AN5" s="3" t="s">
        <v>40</v>
      </c>
    </row>
    <row r="6" spans="1:40" x14ac:dyDescent="0.25">
      <c r="A6" s="5">
        <v>0</v>
      </c>
      <c r="B6" s="2" t="s">
        <v>27</v>
      </c>
      <c r="C6" s="2">
        <v>1033.4559074317169</v>
      </c>
      <c r="D6" s="2">
        <v>0</v>
      </c>
      <c r="E6" s="2">
        <v>1033.4559074317169</v>
      </c>
      <c r="F6" s="2">
        <v>111.8060342869703</v>
      </c>
      <c r="G6" s="9">
        <v>34.129967393751151</v>
      </c>
      <c r="H6" s="9">
        <v>34.129967393751151</v>
      </c>
      <c r="I6" s="9">
        <v>270.91622475292291</v>
      </c>
      <c r="J6" s="9">
        <v>152.44729838544609</v>
      </c>
      <c r="K6" s="9">
        <v>270.91622475292291</v>
      </c>
      <c r="L6" s="9">
        <v>270.9162247529228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f>G6/300</f>
        <v>0.1137665579791705</v>
      </c>
      <c r="T6" s="9">
        <f t="shared" ref="T6:T16" si="0">H6/300</f>
        <v>0.1137665579791705</v>
      </c>
      <c r="U6" s="9">
        <f t="shared" ref="U6:U16" si="1">I6/300</f>
        <v>0.90305408250974306</v>
      </c>
      <c r="V6" s="9">
        <f t="shared" ref="V6:V16" si="2">J6/300</f>
        <v>0.50815766128482032</v>
      </c>
      <c r="W6" s="9">
        <f t="shared" ref="W6:W16" si="3">K6/300</f>
        <v>0.90305408250974306</v>
      </c>
      <c r="X6" s="9">
        <f t="shared" ref="X6:X16" si="4">L6/300</f>
        <v>0.90305408250974262</v>
      </c>
      <c r="Y6" s="9">
        <f>M6/300</f>
        <v>0</v>
      </c>
      <c r="Z6" s="9">
        <f t="shared" ref="Z6" si="5">N6/300</f>
        <v>0</v>
      </c>
      <c r="AA6" s="9">
        <f t="shared" ref="AA6" si="6">O6/300</f>
        <v>0</v>
      </c>
      <c r="AB6" s="9">
        <f t="shared" ref="AB6" si="7">P6/300</f>
        <v>0</v>
      </c>
      <c r="AC6" s="9">
        <f t="shared" ref="AC6" si="8">Q6/300</f>
        <v>0</v>
      </c>
      <c r="AD6" s="9">
        <f t="shared" ref="AD6" si="9">R6/300</f>
        <v>0</v>
      </c>
      <c r="AE6" s="9">
        <f>M6/G6</f>
        <v>0</v>
      </c>
      <c r="AF6" s="9">
        <f t="shared" ref="AF6:AF16" si="10">N6/H6</f>
        <v>0</v>
      </c>
      <c r="AG6" s="9">
        <f t="shared" ref="AG6:AG16" si="11">O6/I6</f>
        <v>0</v>
      </c>
      <c r="AH6" s="9">
        <f t="shared" ref="AH6:AH16" si="12">P6/J6</f>
        <v>0</v>
      </c>
      <c r="AI6" s="9">
        <f t="shared" ref="AI6:AI16" si="13">Q6/K6</f>
        <v>0</v>
      </c>
      <c r="AJ6" s="9">
        <f t="shared" ref="AJ6:AJ16" si="14">R6/L6</f>
        <v>0</v>
      </c>
      <c r="AK6" s="7">
        <v>0.1137665579791705</v>
      </c>
      <c r="AL6" s="7">
        <v>0</v>
      </c>
      <c r="AM6" s="7">
        <v>0.90305408250974295</v>
      </c>
      <c r="AN6" s="7">
        <v>0.50815766128482032</v>
      </c>
    </row>
    <row r="7" spans="1:40" x14ac:dyDescent="0.25">
      <c r="A7" s="5">
        <v>0.1</v>
      </c>
      <c r="B7" s="2" t="s">
        <v>48</v>
      </c>
      <c r="C7" s="2">
        <v>1033.558332598461</v>
      </c>
      <c r="D7" s="2">
        <v>0</v>
      </c>
      <c r="E7" s="2">
        <v>1033.558332598461</v>
      </c>
      <c r="F7" s="7">
        <v>111.8337421411625</v>
      </c>
      <c r="G7" s="7">
        <v>35.659638112598387</v>
      </c>
      <c r="H7" s="7">
        <v>35.659638112598387</v>
      </c>
      <c r="I7" s="7">
        <v>270</v>
      </c>
      <c r="J7" s="7">
        <v>152.23905637326391</v>
      </c>
      <c r="K7" s="7">
        <v>270</v>
      </c>
      <c r="L7" s="7">
        <v>270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9">
        <f t="shared" ref="S7:S16" si="15">G7/300</f>
        <v>0.11886546037532796</v>
      </c>
      <c r="T7" s="9">
        <f t="shared" si="0"/>
        <v>0.11886546037532796</v>
      </c>
      <c r="U7" s="9">
        <f t="shared" si="1"/>
        <v>0.9</v>
      </c>
      <c r="V7" s="9">
        <f t="shared" si="2"/>
        <v>0.50746352124421301</v>
      </c>
      <c r="W7" s="9">
        <f t="shared" si="3"/>
        <v>0.9</v>
      </c>
      <c r="X7" s="9">
        <f t="shared" si="4"/>
        <v>0.9</v>
      </c>
      <c r="Y7" s="9">
        <f>G7/G$6</f>
        <v>1.0448189915097106</v>
      </c>
      <c r="Z7" s="9">
        <f t="shared" ref="Z7:Z16" si="16">H7/H$6</f>
        <v>1.0448189915097106</v>
      </c>
      <c r="AA7" s="9">
        <f t="shared" ref="AA7:AA16" si="17">I7/I$6</f>
        <v>0.99661805137821291</v>
      </c>
      <c r="AB7" s="9">
        <f t="shared" ref="AB7:AB16" si="18">J7/J$6</f>
        <v>0.99863400654266976</v>
      </c>
      <c r="AC7" s="9">
        <f t="shared" ref="AC7:AC16" si="19">K7/K$6</f>
        <v>0.99661805137821291</v>
      </c>
      <c r="AD7" s="9">
        <f t="shared" ref="AD7:AD16" si="20">L7/L$6</f>
        <v>0.99661805137821335</v>
      </c>
      <c r="AE7" s="9">
        <f t="shared" ref="AE7:AE16" si="21">M7/G7</f>
        <v>0</v>
      </c>
      <c r="AF7" s="9">
        <f t="shared" si="10"/>
        <v>0</v>
      </c>
      <c r="AG7" s="9">
        <f t="shared" si="11"/>
        <v>0</v>
      </c>
      <c r="AH7" s="9">
        <f t="shared" si="12"/>
        <v>0</v>
      </c>
      <c r="AI7" s="9">
        <f t="shared" si="13"/>
        <v>0</v>
      </c>
      <c r="AJ7" s="9">
        <f t="shared" si="14"/>
        <v>0</v>
      </c>
      <c r="AK7" s="7">
        <v>0.118865460375328</v>
      </c>
      <c r="AL7" s="7">
        <v>0</v>
      </c>
      <c r="AM7" s="7">
        <v>0.9</v>
      </c>
      <c r="AN7" s="7">
        <v>0.50746352124421312</v>
      </c>
    </row>
    <row r="8" spans="1:40" x14ac:dyDescent="0.25">
      <c r="A8" s="5">
        <v>0.2</v>
      </c>
      <c r="B8" s="2" t="s">
        <v>49</v>
      </c>
      <c r="C8" s="2">
        <v>1036.9120457485631</v>
      </c>
      <c r="D8" s="2">
        <v>0</v>
      </c>
      <c r="E8" s="2">
        <v>1036.9120457485631</v>
      </c>
      <c r="F8" s="7">
        <v>112.7409820111947</v>
      </c>
      <c r="G8" s="7">
        <v>85.745734803435099</v>
      </c>
      <c r="H8" s="7">
        <v>85.745734803435099</v>
      </c>
      <c r="I8" s="7">
        <v>240</v>
      </c>
      <c r="J8" s="7">
        <v>145.42057614169309</v>
      </c>
      <c r="K8" s="7">
        <v>240</v>
      </c>
      <c r="L8" s="7">
        <v>240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9">
        <f t="shared" si="15"/>
        <v>0.28581911601145032</v>
      </c>
      <c r="T8" s="9">
        <f t="shared" si="0"/>
        <v>0.28581911601145032</v>
      </c>
      <c r="U8" s="9">
        <f t="shared" si="1"/>
        <v>0.8</v>
      </c>
      <c r="V8" s="9">
        <f t="shared" si="2"/>
        <v>0.48473525380564364</v>
      </c>
      <c r="W8" s="9">
        <f t="shared" si="3"/>
        <v>0.8</v>
      </c>
      <c r="X8" s="9">
        <f t="shared" si="4"/>
        <v>0.8</v>
      </c>
      <c r="Y8" s="9">
        <f t="shared" ref="Y8:Y16" si="22">G8/G$6</f>
        <v>2.5123298189594601</v>
      </c>
      <c r="Z8" s="9">
        <f t="shared" si="16"/>
        <v>2.5123298189594601</v>
      </c>
      <c r="AA8" s="9">
        <f t="shared" si="17"/>
        <v>0.8858827123361892</v>
      </c>
      <c r="AB8" s="9">
        <f t="shared" si="18"/>
        <v>0.95390720387850558</v>
      </c>
      <c r="AC8" s="9">
        <f t="shared" si="19"/>
        <v>0.8858827123361892</v>
      </c>
      <c r="AD8" s="9">
        <f t="shared" si="20"/>
        <v>0.88588271233618965</v>
      </c>
      <c r="AE8" s="9">
        <f t="shared" si="21"/>
        <v>0</v>
      </c>
      <c r="AF8" s="9">
        <f t="shared" si="10"/>
        <v>0</v>
      </c>
      <c r="AG8" s="9">
        <f t="shared" si="11"/>
        <v>0</v>
      </c>
      <c r="AH8" s="9">
        <f t="shared" si="12"/>
        <v>0</v>
      </c>
      <c r="AI8" s="9">
        <f t="shared" si="13"/>
        <v>0</v>
      </c>
      <c r="AJ8" s="9">
        <f t="shared" si="14"/>
        <v>0</v>
      </c>
      <c r="AK8" s="7">
        <v>0.28581911601145032</v>
      </c>
      <c r="AL8" s="7">
        <v>0</v>
      </c>
      <c r="AM8" s="7">
        <v>0.8</v>
      </c>
      <c r="AN8" s="7">
        <v>0.48473525380564358</v>
      </c>
    </row>
    <row r="9" spans="1:40" x14ac:dyDescent="0.25">
      <c r="A9" s="5">
        <v>0.3</v>
      </c>
      <c r="B9" s="2" t="s">
        <v>50</v>
      </c>
      <c r="C9" s="2">
        <v>1040.2657588986649</v>
      </c>
      <c r="D9" s="2">
        <v>0</v>
      </c>
      <c r="E9" s="2">
        <v>1040.2657588986649</v>
      </c>
      <c r="F9" s="7">
        <v>113.6482218812269</v>
      </c>
      <c r="G9" s="7">
        <v>135.8318314942712</v>
      </c>
      <c r="H9" s="7">
        <v>135.8318314942712</v>
      </c>
      <c r="I9" s="7">
        <v>210</v>
      </c>
      <c r="J9" s="7">
        <v>138.60209591012261</v>
      </c>
      <c r="K9" s="7">
        <v>210</v>
      </c>
      <c r="L9" s="7">
        <v>210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9">
        <f t="shared" si="15"/>
        <v>0.45277277164757068</v>
      </c>
      <c r="T9" s="9">
        <f t="shared" si="0"/>
        <v>0.45277277164757068</v>
      </c>
      <c r="U9" s="9">
        <f t="shared" si="1"/>
        <v>0.7</v>
      </c>
      <c r="V9" s="9">
        <f t="shared" si="2"/>
        <v>0.46200698636707538</v>
      </c>
      <c r="W9" s="9">
        <f t="shared" si="3"/>
        <v>0.7</v>
      </c>
      <c r="X9" s="9">
        <f t="shared" si="4"/>
        <v>0.7</v>
      </c>
      <c r="Y9" s="9">
        <f t="shared" si="22"/>
        <v>3.9798406464091913</v>
      </c>
      <c r="Z9" s="9">
        <f t="shared" si="16"/>
        <v>3.9798406464091913</v>
      </c>
      <c r="AA9" s="9">
        <f t="shared" si="17"/>
        <v>0.77514737329416561</v>
      </c>
      <c r="AB9" s="9">
        <f t="shared" si="18"/>
        <v>0.90918040121434351</v>
      </c>
      <c r="AC9" s="9">
        <f t="shared" si="19"/>
        <v>0.77514737329416561</v>
      </c>
      <c r="AD9" s="9">
        <f t="shared" si="20"/>
        <v>0.77514737329416594</v>
      </c>
      <c r="AE9" s="9">
        <f t="shared" si="21"/>
        <v>0</v>
      </c>
      <c r="AF9" s="9">
        <f t="shared" si="10"/>
        <v>0</v>
      </c>
      <c r="AG9" s="9">
        <f t="shared" si="11"/>
        <v>0</v>
      </c>
      <c r="AH9" s="9">
        <f t="shared" si="12"/>
        <v>0</v>
      </c>
      <c r="AI9" s="9">
        <f t="shared" si="13"/>
        <v>0</v>
      </c>
      <c r="AJ9" s="9">
        <f t="shared" si="14"/>
        <v>0</v>
      </c>
      <c r="AK9" s="7">
        <v>0.45277277164757068</v>
      </c>
      <c r="AL9" s="7">
        <v>6.2893048945583452E-2</v>
      </c>
      <c r="AM9" s="7">
        <v>0.7</v>
      </c>
      <c r="AN9" s="7">
        <v>0.46200698636707532</v>
      </c>
    </row>
    <row r="10" spans="1:40" x14ac:dyDescent="0.25">
      <c r="A10" s="5">
        <v>0.4</v>
      </c>
      <c r="B10" s="2" t="s">
        <v>51</v>
      </c>
      <c r="C10" s="2">
        <v>1074.7679017857131</v>
      </c>
      <c r="D10" s="2">
        <v>0</v>
      </c>
      <c r="E10" s="2">
        <v>1074.7679017857131</v>
      </c>
      <c r="F10" s="7">
        <v>122.9816735593247</v>
      </c>
      <c r="G10" s="7">
        <v>178.2559672619042</v>
      </c>
      <c r="H10" s="7">
        <v>178.2559672619042</v>
      </c>
      <c r="I10" s="7">
        <v>180</v>
      </c>
      <c r="J10" s="7">
        <v>178.2559672619042</v>
      </c>
      <c r="K10" s="7">
        <v>180</v>
      </c>
      <c r="L10" s="7">
        <v>180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9">
        <f t="shared" si="15"/>
        <v>0.59418655753968064</v>
      </c>
      <c r="T10" s="9">
        <f t="shared" si="0"/>
        <v>0.59418655753968064</v>
      </c>
      <c r="U10" s="9">
        <f t="shared" si="1"/>
        <v>0.6</v>
      </c>
      <c r="V10" s="9">
        <f t="shared" si="2"/>
        <v>0.59418655753968064</v>
      </c>
      <c r="W10" s="9">
        <f t="shared" si="3"/>
        <v>0.6</v>
      </c>
      <c r="X10" s="9">
        <f t="shared" si="4"/>
        <v>0.6</v>
      </c>
      <c r="Y10" s="9">
        <f t="shared" si="22"/>
        <v>5.2228578247789672</v>
      </c>
      <c r="Z10" s="9">
        <f t="shared" si="16"/>
        <v>5.2228578247789672</v>
      </c>
      <c r="AA10" s="9">
        <f t="shared" si="17"/>
        <v>0.6644120342521419</v>
      </c>
      <c r="AB10" s="9">
        <f t="shared" si="18"/>
        <v>1.1692956788988398</v>
      </c>
      <c r="AC10" s="9">
        <f t="shared" si="19"/>
        <v>0.6644120342521419</v>
      </c>
      <c r="AD10" s="9">
        <f t="shared" si="20"/>
        <v>0.66441203425214224</v>
      </c>
      <c r="AE10" s="9">
        <f t="shared" si="21"/>
        <v>0</v>
      </c>
      <c r="AF10" s="9">
        <f t="shared" si="10"/>
        <v>0</v>
      </c>
      <c r="AG10" s="9">
        <f t="shared" si="11"/>
        <v>0</v>
      </c>
      <c r="AH10" s="9">
        <f t="shared" si="12"/>
        <v>0</v>
      </c>
      <c r="AI10" s="9">
        <f t="shared" si="13"/>
        <v>0</v>
      </c>
      <c r="AJ10" s="9">
        <f t="shared" si="14"/>
        <v>0</v>
      </c>
      <c r="AK10" s="7">
        <v>0.59418655753968064</v>
      </c>
      <c r="AL10" s="7">
        <v>0.59418655753968064</v>
      </c>
      <c r="AM10" s="7">
        <v>0.6</v>
      </c>
      <c r="AN10" s="7">
        <v>0.54808869334098564</v>
      </c>
    </row>
    <row r="11" spans="1:40" x14ac:dyDescent="0.25">
      <c r="A11" s="5">
        <v>0.5</v>
      </c>
      <c r="B11" s="2" t="s">
        <v>52</v>
      </c>
      <c r="C11" s="2">
        <v>1050.5023419186921</v>
      </c>
      <c r="D11" s="2">
        <v>150.50234191869191</v>
      </c>
      <c r="E11" s="2">
        <v>900</v>
      </c>
      <c r="F11" s="7">
        <v>192.61383036388929</v>
      </c>
      <c r="G11" s="7">
        <v>150</v>
      </c>
      <c r="H11" s="7">
        <v>150</v>
      </c>
      <c r="I11" s="7">
        <v>200.1674473062306</v>
      </c>
      <c r="J11" s="7">
        <v>150</v>
      </c>
      <c r="K11" s="7">
        <v>200.1674473062306</v>
      </c>
      <c r="L11" s="7">
        <v>200.1674473062306</v>
      </c>
      <c r="M11" s="7">
        <v>0</v>
      </c>
      <c r="N11" s="7">
        <v>0</v>
      </c>
      <c r="O11" s="7">
        <v>50.167447306230613</v>
      </c>
      <c r="P11" s="7">
        <v>0</v>
      </c>
      <c r="Q11" s="7">
        <v>50.167447306230613</v>
      </c>
      <c r="R11" s="7">
        <v>50.167447306230613</v>
      </c>
      <c r="S11" s="9">
        <f t="shared" si="15"/>
        <v>0.5</v>
      </c>
      <c r="T11" s="9">
        <f t="shared" si="0"/>
        <v>0.5</v>
      </c>
      <c r="U11" s="9">
        <f t="shared" si="1"/>
        <v>0.66722482435410202</v>
      </c>
      <c r="V11" s="9">
        <f t="shared" si="2"/>
        <v>0.5</v>
      </c>
      <c r="W11" s="9">
        <f t="shared" si="3"/>
        <v>0.66722482435410202</v>
      </c>
      <c r="X11" s="9">
        <f t="shared" si="4"/>
        <v>0.66722482435410202</v>
      </c>
      <c r="Y11" s="9">
        <f t="shared" si="22"/>
        <v>4.3949646441052117</v>
      </c>
      <c r="Z11" s="9">
        <f t="shared" si="16"/>
        <v>4.3949646441052117</v>
      </c>
      <c r="AA11" s="9">
        <f t="shared" si="17"/>
        <v>0.73885367142106162</v>
      </c>
      <c r="AB11" s="9">
        <f t="shared" si="18"/>
        <v>0.98394659392875328</v>
      </c>
      <c r="AC11" s="9">
        <f t="shared" si="19"/>
        <v>0.73885367142106162</v>
      </c>
      <c r="AD11" s="9">
        <f t="shared" si="20"/>
        <v>0.73885367142106195</v>
      </c>
      <c r="AE11" s="9">
        <f t="shared" si="21"/>
        <v>0</v>
      </c>
      <c r="AF11" s="9">
        <f t="shared" si="10"/>
        <v>0</v>
      </c>
      <c r="AG11" s="9">
        <f t="shared" si="11"/>
        <v>0.25062740211439494</v>
      </c>
      <c r="AH11" s="9">
        <f t="shared" si="12"/>
        <v>0</v>
      </c>
      <c r="AI11" s="9">
        <f t="shared" si="13"/>
        <v>0.25062740211439494</v>
      </c>
      <c r="AJ11" s="9">
        <f t="shared" si="14"/>
        <v>0.25062740211439494</v>
      </c>
      <c r="AK11" s="7">
        <v>0.5</v>
      </c>
      <c r="AL11" s="7">
        <v>0.5</v>
      </c>
      <c r="AM11" s="7">
        <v>0.66722482435410202</v>
      </c>
      <c r="AN11" s="7">
        <v>0.5</v>
      </c>
    </row>
    <row r="12" spans="1:40" x14ac:dyDescent="0.25">
      <c r="A12" s="5">
        <v>0.6</v>
      </c>
      <c r="B12" s="2" t="s">
        <v>53</v>
      </c>
      <c r="C12" s="2">
        <v>1039.205675862044</v>
      </c>
      <c r="D12" s="2">
        <v>319.20567586204368</v>
      </c>
      <c r="E12" s="2">
        <v>719.99999999999989</v>
      </c>
      <c r="F12" s="7">
        <v>275.01616890142282</v>
      </c>
      <c r="G12" s="7">
        <v>120</v>
      </c>
      <c r="H12" s="7">
        <v>120</v>
      </c>
      <c r="I12" s="7">
        <v>219.48277019388959</v>
      </c>
      <c r="J12" s="7">
        <v>140.7573652803747</v>
      </c>
      <c r="K12" s="7">
        <v>219.48277019388971</v>
      </c>
      <c r="L12" s="7">
        <v>219.48277019388971</v>
      </c>
      <c r="M12" s="7">
        <v>0</v>
      </c>
      <c r="N12" s="7">
        <v>0</v>
      </c>
      <c r="O12" s="7">
        <v>99.48277019388965</v>
      </c>
      <c r="P12" s="7">
        <v>20.75736528037466</v>
      </c>
      <c r="Q12" s="7">
        <v>99.482770193889735</v>
      </c>
      <c r="R12" s="7">
        <v>99.482770193889735</v>
      </c>
      <c r="S12" s="9">
        <f t="shared" si="15"/>
        <v>0.4</v>
      </c>
      <c r="T12" s="9">
        <f t="shared" si="0"/>
        <v>0.4</v>
      </c>
      <c r="U12" s="9">
        <f t="shared" si="1"/>
        <v>0.73160923397963196</v>
      </c>
      <c r="V12" s="9">
        <f t="shared" si="2"/>
        <v>0.46919121760124899</v>
      </c>
      <c r="W12" s="9">
        <f t="shared" si="3"/>
        <v>0.7316092339796324</v>
      </c>
      <c r="X12" s="9">
        <f t="shared" si="4"/>
        <v>0.7316092339796324</v>
      </c>
      <c r="Y12" s="9">
        <f t="shared" si="22"/>
        <v>3.5159717152841692</v>
      </c>
      <c r="Z12" s="9">
        <f t="shared" si="16"/>
        <v>3.5159717152841692</v>
      </c>
      <c r="AA12" s="9">
        <f t="shared" si="17"/>
        <v>0.81014996571009756</v>
      </c>
      <c r="AB12" s="9">
        <f t="shared" si="18"/>
        <v>0.92331820092006689</v>
      </c>
      <c r="AC12" s="9">
        <f t="shared" si="19"/>
        <v>0.81014996571009801</v>
      </c>
      <c r="AD12" s="9">
        <f t="shared" si="20"/>
        <v>0.81014996571009834</v>
      </c>
      <c r="AE12" s="9">
        <f t="shared" si="21"/>
        <v>0</v>
      </c>
      <c r="AF12" s="9">
        <f t="shared" si="10"/>
        <v>0</v>
      </c>
      <c r="AG12" s="9">
        <f t="shared" si="11"/>
        <v>0.45326004454020352</v>
      </c>
      <c r="AH12" s="9">
        <f t="shared" si="12"/>
        <v>0.14746912347377381</v>
      </c>
      <c r="AI12" s="9">
        <f t="shared" si="13"/>
        <v>0.45326004454020369</v>
      </c>
      <c r="AJ12" s="9">
        <f t="shared" si="14"/>
        <v>0.45326004454020369</v>
      </c>
      <c r="AK12" s="7">
        <v>0.4</v>
      </c>
      <c r="AL12" s="7">
        <v>0.4</v>
      </c>
      <c r="AM12" s="7">
        <v>0.7316092339796324</v>
      </c>
      <c r="AN12" s="7">
        <v>0.46919121760124888</v>
      </c>
    </row>
    <row r="13" spans="1:40" x14ac:dyDescent="0.25">
      <c r="A13" s="5">
        <v>0.7</v>
      </c>
      <c r="B13" s="2" t="s">
        <v>54</v>
      </c>
      <c r="C13" s="2">
        <v>1037.1969069391209</v>
      </c>
      <c r="D13" s="2">
        <v>497.19690693912088</v>
      </c>
      <c r="E13" s="2">
        <v>540</v>
      </c>
      <c r="F13" s="7">
        <v>364.663542062163</v>
      </c>
      <c r="G13" s="7">
        <v>90</v>
      </c>
      <c r="H13" s="7">
        <v>90</v>
      </c>
      <c r="I13" s="7">
        <v>237.4518286644545</v>
      </c>
      <c r="J13" s="7">
        <v>144.84142094575739</v>
      </c>
      <c r="K13" s="7">
        <v>237.4518286644545</v>
      </c>
      <c r="L13" s="7">
        <v>237.4518286644545</v>
      </c>
      <c r="M13" s="7">
        <v>0</v>
      </c>
      <c r="N13" s="7">
        <v>0</v>
      </c>
      <c r="O13" s="7">
        <v>147.4518286644545</v>
      </c>
      <c r="P13" s="7">
        <v>54.841420945757399</v>
      </c>
      <c r="Q13" s="7">
        <v>147.4518286644545</v>
      </c>
      <c r="R13" s="7">
        <v>147.4518286644545</v>
      </c>
      <c r="S13" s="9">
        <f t="shared" si="15"/>
        <v>0.3</v>
      </c>
      <c r="T13" s="9">
        <f t="shared" si="0"/>
        <v>0.3</v>
      </c>
      <c r="U13" s="9">
        <f t="shared" si="1"/>
        <v>0.79150609554818163</v>
      </c>
      <c r="V13" s="9">
        <f t="shared" si="2"/>
        <v>0.48280473648585798</v>
      </c>
      <c r="W13" s="9">
        <f t="shared" si="3"/>
        <v>0.79150609554818163</v>
      </c>
      <c r="X13" s="9">
        <f t="shared" si="4"/>
        <v>0.79150609554818163</v>
      </c>
      <c r="Y13" s="9">
        <f t="shared" si="22"/>
        <v>2.6369787864631267</v>
      </c>
      <c r="Z13" s="9">
        <f t="shared" si="16"/>
        <v>2.6369787864631267</v>
      </c>
      <c r="AA13" s="9">
        <f t="shared" si="17"/>
        <v>0.87647695844356266</v>
      </c>
      <c r="AB13" s="9">
        <f t="shared" si="18"/>
        <v>0.95010815199585841</v>
      </c>
      <c r="AC13" s="9">
        <f t="shared" si="19"/>
        <v>0.87647695844356266</v>
      </c>
      <c r="AD13" s="9">
        <f t="shared" si="20"/>
        <v>0.87647695844356299</v>
      </c>
      <c r="AE13" s="9">
        <f t="shared" si="21"/>
        <v>0</v>
      </c>
      <c r="AF13" s="9">
        <f t="shared" si="10"/>
        <v>0</v>
      </c>
      <c r="AG13" s="9">
        <f t="shared" si="11"/>
        <v>0.62097575535128902</v>
      </c>
      <c r="AH13" s="9">
        <f t="shared" si="12"/>
        <v>0.37863078522472737</v>
      </c>
      <c r="AI13" s="9">
        <f t="shared" si="13"/>
        <v>0.62097575535128902</v>
      </c>
      <c r="AJ13" s="9">
        <f t="shared" si="14"/>
        <v>0.62097575535128902</v>
      </c>
      <c r="AK13" s="7">
        <v>0.3</v>
      </c>
      <c r="AL13" s="7">
        <v>0</v>
      </c>
      <c r="AM13" s="7">
        <v>0.79150609554818174</v>
      </c>
      <c r="AN13" s="7">
        <v>0.48280473648585798</v>
      </c>
    </row>
    <row r="14" spans="1:40" x14ac:dyDescent="0.25">
      <c r="A14" s="5">
        <v>0.8</v>
      </c>
      <c r="B14" s="2" t="s">
        <v>55</v>
      </c>
      <c r="C14" s="2">
        <v>1035.1881380161981</v>
      </c>
      <c r="D14" s="2">
        <v>675.18813801619785</v>
      </c>
      <c r="E14" s="2">
        <v>359.99999999999989</v>
      </c>
      <c r="F14" s="7">
        <v>454.31091522290302</v>
      </c>
      <c r="G14" s="7">
        <v>60</v>
      </c>
      <c r="H14" s="7">
        <v>60</v>
      </c>
      <c r="I14" s="7">
        <v>255.42088713501951</v>
      </c>
      <c r="J14" s="7">
        <v>148.92547661113949</v>
      </c>
      <c r="K14" s="7">
        <v>255.4208871350194</v>
      </c>
      <c r="L14" s="7">
        <v>255.4208871350194</v>
      </c>
      <c r="M14" s="7">
        <v>0</v>
      </c>
      <c r="N14" s="7">
        <v>0</v>
      </c>
      <c r="O14" s="7">
        <v>195.42088713501951</v>
      </c>
      <c r="P14" s="7">
        <v>88.925476611139516</v>
      </c>
      <c r="Q14" s="7">
        <v>195.4208871350194</v>
      </c>
      <c r="R14" s="7">
        <v>195.4208871350194</v>
      </c>
      <c r="S14" s="9">
        <f t="shared" si="15"/>
        <v>0.2</v>
      </c>
      <c r="T14" s="9">
        <f t="shared" si="0"/>
        <v>0.2</v>
      </c>
      <c r="U14" s="9">
        <f t="shared" si="1"/>
        <v>0.85140295711673175</v>
      </c>
      <c r="V14" s="9">
        <f t="shared" si="2"/>
        <v>0.49641825537046497</v>
      </c>
      <c r="W14" s="9">
        <f t="shared" si="3"/>
        <v>0.85140295711673131</v>
      </c>
      <c r="X14" s="9">
        <f t="shared" si="4"/>
        <v>0.85140295711673131</v>
      </c>
      <c r="Y14" s="9">
        <f t="shared" si="22"/>
        <v>1.7579858576420846</v>
      </c>
      <c r="Z14" s="9">
        <f t="shared" si="16"/>
        <v>1.7579858576420846</v>
      </c>
      <c r="AA14" s="9">
        <f t="shared" si="17"/>
        <v>0.94280395117702809</v>
      </c>
      <c r="AB14" s="9">
        <f t="shared" si="18"/>
        <v>0.97689810307164604</v>
      </c>
      <c r="AC14" s="9">
        <f t="shared" si="19"/>
        <v>0.94280395117702764</v>
      </c>
      <c r="AD14" s="9">
        <f t="shared" si="20"/>
        <v>0.94280395117702809</v>
      </c>
      <c r="AE14" s="9">
        <f t="shared" si="21"/>
        <v>0</v>
      </c>
      <c r="AF14" s="9">
        <f t="shared" si="10"/>
        <v>0</v>
      </c>
      <c r="AG14" s="9">
        <f t="shared" si="11"/>
        <v>0.76509360423494632</v>
      </c>
      <c r="AH14" s="9">
        <f t="shared" si="12"/>
        <v>0.59711392996467316</v>
      </c>
      <c r="AI14" s="9">
        <f t="shared" si="13"/>
        <v>0.76509360423494621</v>
      </c>
      <c r="AJ14" s="9">
        <f t="shared" si="14"/>
        <v>0.76509360423494621</v>
      </c>
      <c r="AK14" s="7">
        <v>0</v>
      </c>
      <c r="AL14" s="7">
        <v>0.2</v>
      </c>
      <c r="AM14" s="7">
        <v>0.85140295711673142</v>
      </c>
      <c r="AN14" s="7">
        <v>0.49641825537046508</v>
      </c>
    </row>
    <row r="15" spans="1:40" x14ac:dyDescent="0.25">
      <c r="A15" s="5">
        <v>0.9</v>
      </c>
      <c r="B15" s="2" t="s">
        <v>56</v>
      </c>
      <c r="C15" s="2">
        <v>1033.4559074317169</v>
      </c>
      <c r="D15" s="2">
        <v>853.4559074317167</v>
      </c>
      <c r="E15" s="2">
        <v>180</v>
      </c>
      <c r="F15" s="7">
        <v>544.13893664931527</v>
      </c>
      <c r="G15" s="7">
        <v>34.129967393751457</v>
      </c>
      <c r="H15" s="7">
        <v>34.129967393751478</v>
      </c>
      <c r="I15" s="7">
        <v>270.91622475292297</v>
      </c>
      <c r="J15" s="7">
        <v>152.44729838544581</v>
      </c>
      <c r="K15" s="7">
        <v>270.91622475292229</v>
      </c>
      <c r="L15" s="7">
        <v>270.91622475292257</v>
      </c>
      <c r="M15" s="7">
        <v>4.1299673937514552</v>
      </c>
      <c r="N15" s="7">
        <v>4.1299673937514827</v>
      </c>
      <c r="O15" s="7">
        <v>240.91622475292311</v>
      </c>
      <c r="P15" s="7">
        <v>122.44729838544581</v>
      </c>
      <c r="Q15" s="7">
        <v>240.91622475292229</v>
      </c>
      <c r="R15" s="7">
        <v>240.91622475292269</v>
      </c>
      <c r="S15" s="9">
        <f t="shared" si="15"/>
        <v>0.11376655797917153</v>
      </c>
      <c r="T15" s="9">
        <f t="shared" si="0"/>
        <v>0.1137665579791716</v>
      </c>
      <c r="U15" s="9">
        <f t="shared" si="1"/>
        <v>0.90305408250974328</v>
      </c>
      <c r="V15" s="9">
        <f t="shared" si="2"/>
        <v>0.50815766128481932</v>
      </c>
      <c r="W15" s="9">
        <f t="shared" si="3"/>
        <v>0.90305408250974095</v>
      </c>
      <c r="X15" s="9">
        <f t="shared" si="4"/>
        <v>0.90305408250974195</v>
      </c>
      <c r="Y15" s="9">
        <f t="shared" si="22"/>
        <v>1.0000000000000089</v>
      </c>
      <c r="Z15" s="9">
        <f t="shared" si="16"/>
        <v>1.0000000000000095</v>
      </c>
      <c r="AA15" s="9">
        <f t="shared" si="17"/>
        <v>1.0000000000000002</v>
      </c>
      <c r="AB15" s="9">
        <f t="shared" si="18"/>
        <v>0.99999999999999811</v>
      </c>
      <c r="AC15" s="9">
        <f t="shared" si="19"/>
        <v>0.99999999999999767</v>
      </c>
      <c r="AD15" s="9">
        <f t="shared" si="20"/>
        <v>0.99999999999999911</v>
      </c>
      <c r="AE15" s="9">
        <f t="shared" si="21"/>
        <v>0.12100707117896553</v>
      </c>
      <c r="AF15" s="9">
        <f t="shared" si="10"/>
        <v>0.12100707117896627</v>
      </c>
      <c r="AG15" s="9">
        <f t="shared" si="11"/>
        <v>0.88926466095797685</v>
      </c>
      <c r="AH15" s="9">
        <f t="shared" si="12"/>
        <v>0.80321068121424899</v>
      </c>
      <c r="AI15" s="9">
        <f t="shared" si="13"/>
        <v>0.88926466095797607</v>
      </c>
      <c r="AJ15" s="9">
        <f t="shared" si="14"/>
        <v>0.88926466095797663</v>
      </c>
      <c r="AK15" s="7">
        <v>0.1137665579791715</v>
      </c>
      <c r="AL15" s="7">
        <v>0.1137665579791715</v>
      </c>
      <c r="AM15" s="7">
        <v>0.90305408250974095</v>
      </c>
      <c r="AN15" s="7">
        <v>0.50815766128481943</v>
      </c>
    </row>
    <row r="16" spans="1:40" x14ac:dyDescent="0.25">
      <c r="A16" s="5">
        <v>1</v>
      </c>
      <c r="B16" s="2" t="s">
        <v>57</v>
      </c>
      <c r="C16" s="2">
        <v>1033.4559074317169</v>
      </c>
      <c r="D16" s="2">
        <v>1033.4559074317169</v>
      </c>
      <c r="E16" s="2">
        <v>1033.4559074317169</v>
      </c>
      <c r="F16" s="1">
        <v>635.09853517492388</v>
      </c>
      <c r="G16" s="7">
        <v>34.12996739375118</v>
      </c>
      <c r="H16" s="7">
        <v>34.12996739375118</v>
      </c>
      <c r="I16" s="7">
        <v>270.91622475292291</v>
      </c>
      <c r="J16" s="7">
        <v>152.44729838544609</v>
      </c>
      <c r="K16" s="7">
        <v>270.91622475292291</v>
      </c>
      <c r="L16" s="7">
        <v>270.91622475292291</v>
      </c>
      <c r="M16" s="7">
        <v>34.12996739375118</v>
      </c>
      <c r="N16" s="7">
        <v>34.12996739375118</v>
      </c>
      <c r="O16" s="7">
        <v>270.91622475292291</v>
      </c>
      <c r="P16" s="7">
        <v>152.44729838544609</v>
      </c>
      <c r="Q16" s="7">
        <v>270.91622475292291</v>
      </c>
      <c r="R16" s="7">
        <v>270.91622475292291</v>
      </c>
      <c r="S16" s="9">
        <f t="shared" si="15"/>
        <v>0.1137665579791706</v>
      </c>
      <c r="T16" s="9">
        <f t="shared" si="0"/>
        <v>0.1137665579791706</v>
      </c>
      <c r="U16" s="9">
        <f t="shared" si="1"/>
        <v>0.90305408250974306</v>
      </c>
      <c r="V16" s="9">
        <f t="shared" si="2"/>
        <v>0.50815766128482032</v>
      </c>
      <c r="W16" s="9">
        <f t="shared" si="3"/>
        <v>0.90305408250974306</v>
      </c>
      <c r="X16" s="9">
        <f t="shared" si="4"/>
        <v>0.90305408250974306</v>
      </c>
      <c r="Y16" s="9">
        <f t="shared" si="22"/>
        <v>1.0000000000000009</v>
      </c>
      <c r="Z16" s="9">
        <f t="shared" si="16"/>
        <v>1.0000000000000009</v>
      </c>
      <c r="AA16" s="9">
        <f t="shared" si="17"/>
        <v>1</v>
      </c>
      <c r="AB16" s="9">
        <f t="shared" si="18"/>
        <v>1</v>
      </c>
      <c r="AC16" s="9">
        <f t="shared" si="19"/>
        <v>1</v>
      </c>
      <c r="AD16" s="9">
        <f t="shared" si="20"/>
        <v>1.0000000000000004</v>
      </c>
      <c r="AE16" s="9">
        <f t="shared" si="21"/>
        <v>1</v>
      </c>
      <c r="AF16" s="9">
        <f t="shared" si="10"/>
        <v>1</v>
      </c>
      <c r="AG16" s="9">
        <f t="shared" si="11"/>
        <v>1</v>
      </c>
      <c r="AH16" s="9">
        <f t="shared" si="12"/>
        <v>1</v>
      </c>
      <c r="AI16" s="9">
        <f t="shared" si="13"/>
        <v>1</v>
      </c>
      <c r="AJ16" s="9">
        <f t="shared" si="14"/>
        <v>1</v>
      </c>
      <c r="AK16" s="7">
        <v>0.1137665579791706</v>
      </c>
      <c r="AL16" s="7">
        <v>0.1137665579791706</v>
      </c>
      <c r="AM16" s="7">
        <v>0.90305408250974273</v>
      </c>
      <c r="AN16" s="7">
        <v>0.50815766128482032</v>
      </c>
    </row>
    <row r="19" spans="37:37" x14ac:dyDescent="0.25">
      <c r="AK19" t="b">
        <f>AL16=AK16</f>
        <v>1</v>
      </c>
    </row>
  </sheetData>
  <mergeCells count="6">
    <mergeCell ref="G4:L4"/>
    <mergeCell ref="M4:R4"/>
    <mergeCell ref="AE4:AJ4"/>
    <mergeCell ref="AK4:AN4"/>
    <mergeCell ref="S4:X4"/>
    <mergeCell ref="Y4:AD4"/>
  </mergeCells>
  <phoneticPr fontId="3" type="noConversion"/>
  <conditionalFormatting sqref="S7:A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:AJ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8698-59F5-45F0-BB47-79E8FF6B08CC}">
  <dimension ref="C11:G28"/>
  <sheetViews>
    <sheetView topLeftCell="A10" zoomScale="85" zoomScaleNormal="85" workbookViewId="0">
      <selection activeCell="F19" sqref="F19"/>
    </sheetView>
  </sheetViews>
  <sheetFormatPr defaultRowHeight="15" x14ac:dyDescent="0.25"/>
  <cols>
    <col min="4" max="4" width="17.7109375" bestFit="1" customWidth="1"/>
    <col min="5" max="6" width="16.85546875" bestFit="1" customWidth="1"/>
    <col min="7" max="7" width="16.42578125" bestFit="1" customWidth="1"/>
    <col min="11" max="11" width="17.28515625" bestFit="1" customWidth="1"/>
    <col min="13" max="13" width="17.7109375" bestFit="1" customWidth="1"/>
    <col min="14" max="15" width="16.85546875" bestFit="1" customWidth="1"/>
    <col min="16" max="16" width="16.42578125" bestFit="1" customWidth="1"/>
  </cols>
  <sheetData>
    <row r="11" spans="3:7" x14ac:dyDescent="0.25">
      <c r="C11" s="1" t="s">
        <v>8</v>
      </c>
      <c r="D11" s="1" t="s">
        <v>9</v>
      </c>
      <c r="E11" s="1" t="s">
        <v>0</v>
      </c>
      <c r="F11" s="1" t="s">
        <v>13</v>
      </c>
      <c r="G11" s="1" t="s">
        <v>73</v>
      </c>
    </row>
    <row r="12" spans="3:7" x14ac:dyDescent="0.25">
      <c r="C12" s="1" t="s">
        <v>6</v>
      </c>
      <c r="D12" s="1">
        <v>0</v>
      </c>
      <c r="E12" s="1">
        <v>1033.4559074317201</v>
      </c>
      <c r="F12" s="1">
        <v>635.098535174924</v>
      </c>
      <c r="G12" s="1">
        <f>F12/E12</f>
        <v>0.61453858902720981</v>
      </c>
    </row>
    <row r="13" spans="3:7" x14ac:dyDescent="0.25">
      <c r="C13" s="1" t="s">
        <v>10</v>
      </c>
      <c r="D13" s="1">
        <v>10</v>
      </c>
      <c r="E13" s="1">
        <v>983.45590743171692</v>
      </c>
      <c r="F13" s="1">
        <v>610.04635986419703</v>
      </c>
      <c r="G13" s="1">
        <f t="shared" ref="G13:G28" si="0">F13/E13</f>
        <v>0.6203088061744686</v>
      </c>
    </row>
    <row r="14" spans="3:7" x14ac:dyDescent="0.25">
      <c r="C14" s="1" t="s">
        <v>11</v>
      </c>
      <c r="D14" s="1">
        <v>50</v>
      </c>
      <c r="E14" s="1">
        <v>783.45590743171704</v>
      </c>
      <c r="F14" s="1">
        <v>509.691205351853</v>
      </c>
      <c r="G14" s="1">
        <f t="shared" si="0"/>
        <v>0.65056782457955453</v>
      </c>
    </row>
    <row r="15" spans="3:7" x14ac:dyDescent="0.25">
      <c r="C15" s="1" t="s">
        <v>12</v>
      </c>
      <c r="D15" s="1">
        <v>100</v>
      </c>
      <c r="E15" s="1">
        <v>534.51854837522399</v>
      </c>
      <c r="F15" s="1">
        <v>384.94143085566401</v>
      </c>
      <c r="G15" s="1">
        <f t="shared" si="0"/>
        <v>0.72016477636888465</v>
      </c>
    </row>
    <row r="16" spans="3:7" x14ac:dyDescent="0.25">
      <c r="C16" s="1" t="s">
        <v>19</v>
      </c>
      <c r="D16" s="1">
        <v>125</v>
      </c>
      <c r="E16" s="1">
        <v>410.35553542644448</v>
      </c>
      <c r="F16" s="1">
        <v>322.76621985414619</v>
      </c>
      <c r="G16" s="1">
        <f t="shared" si="0"/>
        <v>0.78655261593760439</v>
      </c>
    </row>
    <row r="17" spans="3:7" x14ac:dyDescent="0.25">
      <c r="C17" s="1" t="s">
        <v>14</v>
      </c>
      <c r="D17" s="1">
        <v>150</v>
      </c>
      <c r="E17" s="1">
        <v>289.30907369921101</v>
      </c>
      <c r="F17" s="1">
        <v>262.16184301783602</v>
      </c>
      <c r="G17" s="1">
        <f t="shared" si="0"/>
        <v>0.90616529812127689</v>
      </c>
    </row>
    <row r="18" spans="3:7" x14ac:dyDescent="0.25">
      <c r="C18" s="1" t="s">
        <v>20</v>
      </c>
      <c r="D18" s="1">
        <v>175</v>
      </c>
      <c r="E18" s="1">
        <v>191.8477506110049</v>
      </c>
      <c r="F18" s="1">
        <v>213.44507492969311</v>
      </c>
      <c r="G18" s="1">
        <f t="shared" si="0"/>
        <v>1.1125753325222951</v>
      </c>
    </row>
    <row r="19" spans="3:7" x14ac:dyDescent="0.25">
      <c r="C19" s="1" t="s">
        <v>15</v>
      </c>
      <c r="D19" s="1">
        <v>200</v>
      </c>
      <c r="E19" s="1">
        <v>94.386427522798698</v>
      </c>
      <c r="F19" s="1">
        <v>164.72830684154999</v>
      </c>
      <c r="G19" s="1">
        <f t="shared" si="0"/>
        <v>1.7452541765261798</v>
      </c>
    </row>
    <row r="20" spans="3:7" x14ac:dyDescent="0.25">
      <c r="C20" s="1" t="s">
        <v>18</v>
      </c>
      <c r="D20" s="1">
        <v>210</v>
      </c>
      <c r="E20" s="1">
        <v>55.401898287513497</v>
      </c>
      <c r="F20" s="1">
        <v>145.241599606291</v>
      </c>
      <c r="G20" s="1">
        <f t="shared" si="0"/>
        <v>2.6215996941575126</v>
      </c>
    </row>
    <row r="21" spans="3:7" x14ac:dyDescent="0.25">
      <c r="C21" s="1" t="s">
        <v>24</v>
      </c>
      <c r="D21" s="1">
        <v>215</v>
      </c>
      <c r="E21" s="1">
        <v>35.909633669874751</v>
      </c>
      <c r="F21" s="1">
        <v>135.49824598866451</v>
      </c>
      <c r="G21" s="1">
        <f t="shared" si="0"/>
        <v>3.773311842563754</v>
      </c>
    </row>
    <row r="22" spans="3:7" x14ac:dyDescent="0.25">
      <c r="C22" s="1" t="s">
        <v>25</v>
      </c>
      <c r="D22" s="1">
        <v>220</v>
      </c>
      <c r="E22" s="1">
        <v>16.417369052233791</v>
      </c>
      <c r="F22" s="1">
        <v>125.7548923710351</v>
      </c>
      <c r="G22" s="1">
        <f t="shared" si="0"/>
        <v>7.6598687628286308</v>
      </c>
    </row>
    <row r="23" spans="3:7" x14ac:dyDescent="0.25">
      <c r="C23" s="1" t="s">
        <v>17</v>
      </c>
      <c r="D23" s="1">
        <v>225</v>
      </c>
      <c r="E23" s="1">
        <v>0</v>
      </c>
      <c r="F23" s="1">
        <v>114.591262206848</v>
      </c>
      <c r="G23" s="1"/>
    </row>
    <row r="24" spans="3:7" x14ac:dyDescent="0.25">
      <c r="C24" s="1" t="s">
        <v>26</v>
      </c>
      <c r="D24" s="1">
        <v>240</v>
      </c>
      <c r="E24" s="1">
        <v>0</v>
      </c>
      <c r="F24" s="1">
        <v>115.33453302122</v>
      </c>
      <c r="G24" s="1"/>
    </row>
    <row r="25" spans="3:7" x14ac:dyDescent="0.25">
      <c r="C25" s="1" t="s">
        <v>16</v>
      </c>
      <c r="D25" s="1">
        <v>250</v>
      </c>
      <c r="E25" s="1">
        <v>0</v>
      </c>
      <c r="F25" s="1">
        <v>114.5912622068476</v>
      </c>
      <c r="G25" s="1"/>
    </row>
    <row r="26" spans="3:7" x14ac:dyDescent="0.25">
      <c r="C26" s="1" t="s">
        <v>21</v>
      </c>
      <c r="D26" s="1">
        <v>300</v>
      </c>
      <c r="E26" s="1">
        <v>0</v>
      </c>
      <c r="F26" s="1">
        <v>105.5899519648831</v>
      </c>
      <c r="G26" s="1"/>
    </row>
    <row r="27" spans="3:7" x14ac:dyDescent="0.25">
      <c r="C27" s="1" t="s">
        <v>22</v>
      </c>
      <c r="D27" s="1">
        <v>500</v>
      </c>
      <c r="E27" s="1">
        <v>0</v>
      </c>
      <c r="F27" s="1">
        <v>105.32067007156679</v>
      </c>
      <c r="G27" s="1"/>
    </row>
    <row r="28" spans="3:7" x14ac:dyDescent="0.25">
      <c r="C28" s="1" t="s">
        <v>23</v>
      </c>
      <c r="D28" s="1">
        <v>1000</v>
      </c>
      <c r="E28" s="1">
        <v>0</v>
      </c>
      <c r="F28" s="1">
        <v>105.32067007156679</v>
      </c>
      <c r="G28" s="1"/>
    </row>
  </sheetData>
  <phoneticPr fontId="3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F412-43DB-4AD5-9AAD-B91F71B10FB8}">
  <dimension ref="B5:R14"/>
  <sheetViews>
    <sheetView zoomScaleNormal="100" workbookViewId="0">
      <selection activeCell="H7" sqref="H7"/>
    </sheetView>
  </sheetViews>
  <sheetFormatPr defaultRowHeight="15" x14ac:dyDescent="0.25"/>
  <cols>
    <col min="3" max="3" width="4.85546875" bestFit="1" customWidth="1"/>
    <col min="4" max="4" width="16.5703125" bestFit="1" customWidth="1"/>
    <col min="5" max="5" width="16" bestFit="1" customWidth="1"/>
  </cols>
  <sheetData>
    <row r="5" spans="2:18" x14ac:dyDescent="0.25">
      <c r="F5" s="13" t="s">
        <v>36</v>
      </c>
      <c r="G5" s="13"/>
      <c r="H5" s="13"/>
      <c r="I5" s="13"/>
      <c r="J5" s="13"/>
      <c r="K5" s="13"/>
      <c r="L5" s="14" t="s">
        <v>41</v>
      </c>
      <c r="M5" s="14"/>
      <c r="N5" s="14"/>
      <c r="O5" s="14"/>
    </row>
    <row r="6" spans="2:18" x14ac:dyDescent="0.25">
      <c r="C6" s="3" t="s">
        <v>8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35</v>
      </c>
      <c r="L6" s="3" t="s">
        <v>37</v>
      </c>
      <c r="M6" s="3" t="s">
        <v>38</v>
      </c>
      <c r="N6" s="3" t="s">
        <v>39</v>
      </c>
      <c r="O6" s="3" t="s">
        <v>40</v>
      </c>
    </row>
    <row r="7" spans="2:18" x14ac:dyDescent="0.25">
      <c r="C7" s="2" t="s">
        <v>5</v>
      </c>
      <c r="D7" s="2">
        <v>1040.4290264722499</v>
      </c>
      <c r="E7" s="2">
        <v>113.69238870337939</v>
      </c>
      <c r="F7" s="2">
        <v>138.27015436556971</v>
      </c>
      <c r="G7" s="2">
        <v>138.27015436556971</v>
      </c>
      <c r="H7" s="2">
        <v>208.53952112518161</v>
      </c>
      <c r="I7" s="2">
        <v>138.27015436556971</v>
      </c>
      <c r="J7" s="2">
        <v>208.53952112518161</v>
      </c>
      <c r="K7" s="2">
        <v>208.53952112518161</v>
      </c>
      <c r="L7" s="2">
        <v>0.46090051455189879</v>
      </c>
      <c r="M7" s="2">
        <v>0</v>
      </c>
      <c r="N7" s="2">
        <v>0.69513173708393872</v>
      </c>
      <c r="O7" s="2"/>
    </row>
    <row r="8" spans="2:18" x14ac:dyDescent="0.25">
      <c r="C8" s="2" t="s">
        <v>7</v>
      </c>
      <c r="D8" s="2">
        <v>0</v>
      </c>
      <c r="E8" s="2">
        <v>6.4600060285877996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2">
        <v>0</v>
      </c>
      <c r="M8" s="2">
        <v>0</v>
      </c>
      <c r="N8" s="2">
        <v>0</v>
      </c>
      <c r="O8" s="2">
        <v>0</v>
      </c>
    </row>
    <row r="10" spans="2:18" x14ac:dyDescent="0.25">
      <c r="C10" s="15" t="s">
        <v>65</v>
      </c>
      <c r="D10" s="15"/>
      <c r="E10" s="15"/>
      <c r="F10" s="15"/>
      <c r="G10" s="15"/>
      <c r="H10" s="15"/>
      <c r="I10" s="15"/>
      <c r="J10" s="15"/>
      <c r="K10" s="15" t="s">
        <v>69</v>
      </c>
      <c r="L10" s="15"/>
      <c r="M10" s="15"/>
      <c r="N10" s="15"/>
      <c r="O10" s="15"/>
      <c r="P10" s="15"/>
      <c r="Q10" s="15"/>
      <c r="R10" s="15"/>
    </row>
    <row r="11" spans="2:18" x14ac:dyDescent="0.25">
      <c r="B11" s="10" t="s">
        <v>74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66</v>
      </c>
      <c r="I11" s="3" t="s">
        <v>67</v>
      </c>
      <c r="J11" s="3" t="s">
        <v>68</v>
      </c>
      <c r="K11" s="3" t="s">
        <v>60</v>
      </c>
      <c r="L11" s="3" t="s">
        <v>61</v>
      </c>
      <c r="M11" s="3" t="s">
        <v>62</v>
      </c>
      <c r="N11" s="3" t="s">
        <v>63</v>
      </c>
      <c r="O11" s="3" t="s">
        <v>64</v>
      </c>
      <c r="P11" s="3" t="s">
        <v>66</v>
      </c>
      <c r="Q11" s="3" t="s">
        <v>67</v>
      </c>
      <c r="R11" s="3" t="s">
        <v>68</v>
      </c>
    </row>
    <row r="12" spans="2:18" x14ac:dyDescent="0.25">
      <c r="B12" t="s">
        <v>70</v>
      </c>
      <c r="C12" s="2">
        <v>0.1</v>
      </c>
      <c r="D12" s="2">
        <v>0.1</v>
      </c>
      <c r="E12" s="2">
        <v>0.1</v>
      </c>
      <c r="F12" s="2">
        <v>0.1</v>
      </c>
      <c r="G12" s="2">
        <v>0.1</v>
      </c>
      <c r="H12" s="2">
        <v>-200</v>
      </c>
      <c r="I12" s="2">
        <v>-200</v>
      </c>
      <c r="J12" s="2">
        <v>-200</v>
      </c>
      <c r="K12" s="16">
        <v>0.1</v>
      </c>
      <c r="L12" s="2">
        <v>-144.3137854777701</v>
      </c>
      <c r="M12" s="2">
        <v>-137.30005426280309</v>
      </c>
      <c r="N12" s="2">
        <v>-335.98616025942681</v>
      </c>
      <c r="O12" s="2">
        <v>-345</v>
      </c>
      <c r="P12" s="2">
        <v>156.6870572251963</v>
      </c>
      <c r="Q12" s="2">
        <v>57.714525566898473</v>
      </c>
      <c r="R12" s="2">
        <v>148.59841720790519</v>
      </c>
    </row>
    <row r="13" spans="2:18" x14ac:dyDescent="0.25">
      <c r="B13" t="s">
        <v>71</v>
      </c>
      <c r="C13" s="2">
        <v>0.1</v>
      </c>
      <c r="D13" s="2">
        <v>-144.3137854777701</v>
      </c>
      <c r="E13" s="2">
        <v>-137.30005426280309</v>
      </c>
      <c r="F13" s="2">
        <v>-335.98616025942681</v>
      </c>
      <c r="G13" s="2">
        <v>-345</v>
      </c>
      <c r="H13" s="2">
        <v>156.6870572251963</v>
      </c>
      <c r="I13" s="2">
        <v>57.714525566898473</v>
      </c>
      <c r="J13" s="2">
        <v>148.59841720790519</v>
      </c>
    </row>
    <row r="14" spans="2:18" x14ac:dyDescent="0.25">
      <c r="B14" t="s">
        <v>72</v>
      </c>
      <c r="C14" s="2">
        <f>C13-C12</f>
        <v>0</v>
      </c>
      <c r="D14" s="2">
        <f t="shared" ref="D14:J14" si="0">D13-D12</f>
        <v>-144.41378547777009</v>
      </c>
      <c r="E14" s="2">
        <f t="shared" si="0"/>
        <v>-137.40005426280308</v>
      </c>
      <c r="F14" s="2">
        <f t="shared" si="0"/>
        <v>-336.08616025942683</v>
      </c>
      <c r="G14" s="2">
        <f t="shared" si="0"/>
        <v>-345.1</v>
      </c>
      <c r="H14" s="2">
        <f t="shared" si="0"/>
        <v>356.68705722519633</v>
      </c>
      <c r="I14" s="2">
        <f t="shared" si="0"/>
        <v>257.71452556689849</v>
      </c>
      <c r="J14" s="2">
        <f t="shared" si="0"/>
        <v>348.59841720790519</v>
      </c>
    </row>
  </sheetData>
  <mergeCells count="4">
    <mergeCell ref="F5:K5"/>
    <mergeCell ref="L5:O5"/>
    <mergeCell ref="C10:J10"/>
    <mergeCell ref="K10:R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5" ma:contentTypeDescription="Create a new document." ma:contentTypeScope="" ma:versionID="6209ab20e780cb78e80cac366f91a198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1cd68f7e674d05db2509479024cb6679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D301E1B3-2BDF-42F3-97FE-561E5BF953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8E86C-A995-4B73-A08A-3757406EF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0E0F64-9F1B-4FCA-8673-83288FCC5326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snapshots</vt:lpstr>
      <vt:lpstr>varying wind firm (pro-rata)</vt:lpstr>
      <vt:lpstr>varying prosumer capacity</vt:lpstr>
      <vt:lpstr>D04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Nayer</dc:creator>
  <cp:lastModifiedBy>Richard Nayer</cp:lastModifiedBy>
  <dcterms:created xsi:type="dcterms:W3CDTF">2015-06-05T18:17:20Z</dcterms:created>
  <dcterms:modified xsi:type="dcterms:W3CDTF">2026-10-30T09:50:34Z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0x010100206C8747921DEB47908282AF5FC82B21</vt:lpwstr>
  </property>
</Properties>
</file>